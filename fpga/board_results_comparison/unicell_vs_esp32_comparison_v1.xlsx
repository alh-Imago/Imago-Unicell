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ettings" sheetId="2" state="visible" r:id="rId4"/>
    <sheet name="T2-T3 UniCell latency" sheetId="3" state="visible" r:id="rId5"/>
    <sheet name="C1 v1 ESP32 answer" sheetId="4" state="visible" r:id="rId6"/>
    <sheet name="C1 v2-v3 runs" sheetId="5" state="visible" r:id="rId7"/>
    <sheet name="C2 ESP32 threads" sheetId="6" state="visible" r:id="rId8"/>
    <sheet name="T4 UniCell pulse" sheetId="7" state="visible" r:id="rId9"/>
    <sheet name="P1 ESP32 puls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<sst xmlns="http://schemas.openxmlformats.org/spreadsheetml/2006/main" count="396" uniqueCount="229">
  <si>
    <t xml:space="preserve">UniCell (Tang Nano 20K) against ESP32: measured results side by side</t>
  </si>
  <si>
    <t xml:space="preserve">Both devices measured on the same bench with the same wires and a Tang counter (27 MHz) as the clock for the ESP32's answer time. Each row says which side it applies to and the real time and clock count. Nothing here is a guess; see sheets for sources. Ledger #1233.</t>
  </si>
  <si>
    <t xml:space="preserve">Question</t>
  </si>
  <si>
    <t xml:space="preserve">UniCell: value</t>
  </si>
  <si>
    <t xml:space="preserve">UniCell: unit</t>
  </si>
  <si>
    <t xml:space="preserve">ESP32: value</t>
  </si>
  <si>
    <t xml:space="preserve">ESP32: unit</t>
  </si>
  <si>
    <t xml:space="preserve">UniCell in ESP32 cycles / ESP32 in Tang clocks</t>
  </si>
  <si>
    <t xml:space="preserve">What it shows</t>
  </si>
  <si>
    <t xml:space="preserve">Where from</t>
  </si>
  <si>
    <t xml:space="preserve">Answer time after an edge: the logic's own part</t>
  </si>
  <si>
    <t xml:space="preserve">us (8 clocks, fixed)</t>
  </si>
  <si>
    <t xml:space="preserve">us avg, quiet, loop on</t>
  </si>
  <si>
    <t xml:space="preserve">UniCell's own part is a constant 8 clocks, same idle and busy. The ESP32 figure is its interrupt answer (rising edge to answer pin) averaged over quiet loop-on runs; it has a spread (min-max in the runs sheet).</t>
  </si>
  <si>
    <t xml:space="preserve">T2 sheet; C1 v2-v3 runs</t>
  </si>
  <si>
    <t xml:space="preserve">Answer time after an edge: UniCell including the 1 ms sampling wait (average)</t>
  </si>
  <si>
    <t xml:space="preserve">us avg (0 - 1,000 us range)</t>
  </si>
  <si>
    <t xml:space="preserve">In direct sensor mode the UniCell only looks once per millisecond, so its average edge-to-result is about half a millisecond; the ESP32's interrupt answers in about 2 us. At the edge the ESP32 wins on average time.</t>
  </si>
  <si>
    <t xml:space="preserve">Answer time: worst case seen</t>
  </si>
  <si>
    <t xml:space="preserve">us (max over 2,048 events)</t>
  </si>
  <si>
    <t xml:space="preserve">us (max over all C1 v2-v3 runs)</t>
  </si>
  <si>
    <t xml:space="preserve">UniCell worst case is bounded by the sampling window (1 ms). ESP32 worst case grew to about 24 us when the interrupt storm carried 20 us of work per interrupt.</t>
  </si>
  <si>
    <t xml:space="preserve">Does load change the answer? (quiet -&gt; storm)</t>
  </si>
  <si>
    <t xml:space="preserve">none</t>
  </si>
  <si>
    <t xml:space="preserve">own part 8 clocks in idle and busy builds</t>
  </si>
  <si>
    <t xml:space="preserve">x avg answer time, storm / quiet (6 us work)</t>
  </si>
  <si>
    <t xml:space="preserve">UniCell: the load is inside the chip and its answer time did not move (same min and max). ESP32: the same interrupt takes longer with a storm (about 1.1x with 6 us of work, about 2.7x with 20 us), and the tail grows.</t>
  </si>
  <si>
    <t xml:space="preserve">Edges the device did not answer in storm runs (total, all storm runs)</t>
  </si>
  <si>
    <t xml:space="preserve">n/a</t>
  </si>
  <si>
    <t xml:space="preserve">not applicable: UniCell has no handler to miss (no counter for this was built)</t>
  </si>
  <si>
    <t xml:space="preserve">unanswered edges</t>
  </si>
  <si>
    <t xml:space="preserve">Quiet runs: no unanswered edge in 11 runs. Storm runs: 0 to 3 per run of 4,096 events. Level-check sketch v3 matched each unanswered edge with a missing handler run. Cause of the missing run is not known.</t>
  </si>
  <si>
    <t xml:space="preserve">C1 v2-v3 runs</t>
  </si>
  <si>
    <t xml:space="preserve">Share of answers slower than 10 us, storm with 20 us work</t>
  </si>
  <si>
    <t xml:space="preserve">of answers (10-50 us buckets)</t>
  </si>
  <si>
    <t xml:space="preserve">The ESP32's answer time spreads out under heavy interrupt load; the UniCell's own part cannot spread.</t>
  </si>
  <si>
    <t xml:space="preserve">Shortest pulse caught every time (512 of 512)</t>
  </si>
  <si>
    <t xml:space="preserve">us (= 27,000 clocks, the sampling window)</t>
  </si>
  <si>
    <t xml:space="preserve">us (shortest width with 100% caught, quiet)</t>
  </si>
  <si>
    <t xml:space="preserve">UniCell in direct sensor mode is certain only for pulses at least 1 ms long; shorter pulses are caught with probability width / 1 ms. The ESP32 caught every pulse down to the shortest the Tang can send (1 clock = 37 ns) when quiet. The 37 ns floor is the narrowest pulse the Tang can send, so the ESP32 limit is not found.</t>
  </si>
  <si>
    <t xml:space="preserve">T4 sheet; P1 sheet</t>
  </si>
  <si>
    <t xml:space="preserve">Pulses caught: 100 us wide (percent)</t>
  </si>
  <si>
    <t xml:space="preserve">of 512 pulses</t>
  </si>
  <si>
    <t xml:space="preserve">of 512 pulses (quiet)</t>
  </si>
  <si>
    <t xml:space="preserve">At 100 us the UniCell sees about 8% of pulses and the ESP32 all of them.</t>
  </si>
  <si>
    <t xml:space="preserve">Pulses caught under storm, all widths together</t>
  </si>
  <si>
    <t xml:space="preserve">(same as idle: no load effect)</t>
  </si>
  <si>
    <t xml:space="preserve">of 6,144 pulses</t>
  </si>
  <si>
    <t xml:space="preserve">Under the storm the ESP32 missed 3 of 6,144 pulses (widths 100 us, 5 us, 148 ns); the UniCell build with a busy load caught exactly the same pulses as idle.</t>
  </si>
  <si>
    <t xml:space="preserve">Throughput of 8 threads on one core vs one thread (slowdown of the watched job)</t>
  </si>
  <si>
    <t xml:space="preserve">flat (131 clocks, alone, beside storm lanes, 4 copies)</t>
  </si>
  <si>
    <t xml:space="preserve">x slower on one core</t>
  </si>
  <si>
    <t xml:space="preserve">Each device compared with itself. ESP32: eight threads stretch the watched job eightfold; the second core doubles total throughput. UniCell: the same job takes 131 clocks regardless of neighbours (up to 8 storm lanes or 4 copies tested).</t>
  </si>
  <si>
    <t xml:space="preserve">C2 sheet; ledger #1180/#1181</t>
  </si>
  <si>
    <t xml:space="preserve">Scope and honest limits</t>
  </si>
  <si>
    <t xml:space="preserve">1. UniCell edge response was measured in direct sensor mode (1 ms sampling) only. A faster sampling stage was not examined.</t>
  </si>
  <si>
    <t xml:space="preserve">2. ESP32 numbers are for the plain Arduino interrupt (attachInterrupt, IRAM handler) at 240 MHz, not a hand-tuned assembly handler.</t>
  </si>
  <si>
    <t xml:space="preserve">3. Tang clock counts have 37 ns resolution; ESP32 answer times are therefore reported to about 0.04 us at best.</t>
  </si>
  <si>
    <t xml:space="preserve">4. Missed edges under storm: cause unknown. Each missed edge matched a missing handler run (v3 sketch evidence); the reason the handler did not run has not been established.</t>
  </si>
  <si>
    <t xml:space="preserve">5. One board of each, one bench, one afternoon; repeated runs show how the storm result varies (0 to 3 unanswered per run), so single runs should not be read as exact rates.</t>
  </si>
  <si>
    <t xml:space="preserve">6. This comparison is about the UniCell at its edges (input sampling) and the ESP32 inside (interrupts and threads). The UniCell internals under load were measured separately (T1/T4, 131 clocks every time).</t>
  </si>
  <si>
    <t xml:space="preserve">Settings: the two clocks</t>
  </si>
  <si>
    <t xml:space="preserve">Tang Nano 20K clock (MHz)</t>
  </si>
  <si>
    <t xml:space="preserve">Board oscillator: 1 clock = 37.04 ns. Every Tang time in this book is a clock count divided by this.</t>
  </si>
  <si>
    <t xml:space="preserve">ESP32 CPU clock (MHz)</t>
  </si>
  <si>
    <t xml:space="preserve">ESP32 CPU clock as set for these runs (240 MHz). Change it here and every cycle figure follows.</t>
  </si>
  <si>
    <t xml:space="preserve">Tang ns per clock</t>
  </si>
  <si>
    <t xml:space="preserve">ESP32 ns per cycle</t>
  </si>
  <si>
    <t xml:space="preserve">Clock ratio ESP32 / Tang</t>
  </si>
  <si>
    <t xml:space="preserve">Yellow cells are inputs (blue = typed from a source, black = formula, green = link to another sheet). Alan's idea that the flex designs run at half clock is NOT used: it is not written in the notes; the Tang times here use the 27 MHz clock the counters actually ran on.</t>
  </si>
  <si>
    <t xml:space="preserve">T2 / T3: UniCell response to an edge (counted on the Tang, 27 MHz clock)</t>
  </si>
  <si>
    <t xml:space="preserve">Direct sensor mode samples the input once per 1 ms (27,000 clocks). Column 'own part' is the design after the sample.</t>
  </si>
  <si>
    <t xml:space="preserve">Test</t>
  </si>
  <si>
    <t xml:space="preserve">Build</t>
  </si>
  <si>
    <t xml:space="preserve">Load running</t>
  </si>
  <si>
    <t xml:space="preserve">Events</t>
  </si>
  <si>
    <t xml:space="preserve">Time-outs</t>
  </si>
  <si>
    <t xml:space="preserve">Edge-&gt;result min (clk)</t>
  </si>
  <si>
    <t xml:space="preserve">Edge-&gt;result max (clk)</t>
  </si>
  <si>
    <t xml:space="preserve">Edge-&gt;result avg (clk)</t>
  </si>
  <si>
    <t xml:space="preserve">Edge-&gt;result min (us)</t>
  </si>
  <si>
    <t xml:space="preserve">Edge-&gt;result max (us)</t>
  </si>
  <si>
    <t xml:space="preserve">Edge-&gt;result avg (us)</t>
  </si>
  <si>
    <t xml:space="preserve">Own part min (clk)</t>
  </si>
  <si>
    <t xml:space="preserve">Own part max (clk)</t>
  </si>
  <si>
    <t xml:space="preserve">Own part (us)</t>
  </si>
  <si>
    <t xml:space="preserve">Own part in ESP32 cycles (same time)</t>
  </si>
  <si>
    <t xml:space="preserve">Both-input events</t>
  </si>
  <si>
    <t xml:space="preserve">Source file</t>
  </si>
  <si>
    <t xml:space="preserve">T2 rising</t>
  </si>
  <si>
    <t xml:space="preserve">lat_busy</t>
  </si>
  <si>
    <t xml:space="preserve">yes</t>
  </si>
  <si>
    <t xml:space="preserve">fpga/board_tests_latency_v2/card_run_18oct/board_results.txt</t>
  </si>
  <si>
    <t xml:space="preserve">lat_idle</t>
  </si>
  <si>
    <t xml:space="preserve">no</t>
  </si>
  <si>
    <t xml:space="preserve">T2 falling</t>
  </si>
  <si>
    <t xml:space="preserve">T3 one input</t>
  </si>
  <si>
    <t xml:space="preserve">lt3_busy</t>
  </si>
  <si>
    <t xml:space="preserve">fpga/board_tests_latency3/card_run_18oct/board_results.txt</t>
  </si>
  <si>
    <t xml:space="preserve">lt3_idle</t>
  </si>
  <si>
    <t xml:space="preserve">T3 both inputs</t>
  </si>
  <si>
    <t xml:space="preserve">Reading: 'Own part' is identical (8 clocks, min = max) in idle and busy builds, so the load did not change it. Edge-&gt;result includes waiting for the next 1 ms sample, so it spans about 0 to 1,000 us; for 'both inputs' it also includes the gap between the two edges.</t>
  </si>
  <si>
    <t xml:space="preserve">C1 version 1: how fast the ESP32 answers an edge from the Tang (answer time counted by the Tang, 27 MHz)</t>
  </si>
  <si>
    <t xml:space="preserve">Typed from the result lines recorded in ledger #1214-#1216 (files in fpga/board_tests_c1/card_run_18oct). Clock counts are the originals.</t>
  </si>
  <si>
    <t xml:space="preserve">Run</t>
  </si>
  <si>
    <t xml:space="preserve">ESP32 compute loop</t>
  </si>
  <si>
    <t xml:space="preserve">Tang build</t>
  </si>
  <si>
    <t xml:space="preserve">Rise min (clk)</t>
  </si>
  <si>
    <t xml:space="preserve">Rise max (clk)</t>
  </si>
  <si>
    <t xml:space="preserve">Rise avg (clk)</t>
  </si>
  <si>
    <t xml:space="preserve">Fall min (clk)</t>
  </si>
  <si>
    <t xml:space="preserve">Fall max (clk)</t>
  </si>
  <si>
    <t xml:space="preserve">Fall avg (clk)</t>
  </si>
  <si>
    <t xml:space="preserve">Rise avg (us)</t>
  </si>
  <si>
    <t xml:space="preserve">Fall avg (us)</t>
  </si>
  <si>
    <t xml:space="preserve">Max (us)</t>
  </si>
  <si>
    <t xml:space="preserve">Avg in ESP32 cycles (rise)</t>
  </si>
  <si>
    <t xml:space="preserve">&lt; 2 us</t>
  </si>
  <si>
    <t xml:space="preserve">2-5 us</t>
  </si>
  <si>
    <t xml:space="preserve">5-10 us</t>
  </si>
  <si>
    <t xml:space="preserve">10-20 us</t>
  </si>
  <si>
    <t xml:space="preserve">20-50 us</t>
  </si>
  <si>
    <t xml:space="preserve">&gt;= 50 us</t>
  </si>
  <si>
    <t xml:space="preserve">Share &gt;= 2 us</t>
  </si>
  <si>
    <t xml:space="preserve">Share &gt;= 5 us</t>
  </si>
  <si>
    <t xml:space="preserve">A</t>
  </si>
  <si>
    <t xml:space="preserve">ON</t>
  </si>
  <si>
    <t xml:space="preserve">c1_quiet (no storm)</t>
  </si>
  <si>
    <t xml:space="preserve">fpga/board_tests_c1/card_run_18oct/loopON_run2/board_results_loopON.txt</t>
  </si>
  <si>
    <t xml:space="preserve">B</t>
  </si>
  <si>
    <t xml:space="preserve">c1_storm (storm)</t>
  </si>
  <si>
    <t xml:space="preserve">C</t>
  </si>
  <si>
    <t xml:space="preserve">OFF</t>
  </si>
  <si>
    <t xml:space="preserve">fpga/board_tests_c1/card_run_18oct/loopOFF/board_results_loopOFF.txt</t>
  </si>
  <si>
    <t xml:space="preserve">D</t>
  </si>
  <si>
    <t xml:space="preserve">A 1-clock minimum in runs B and D is a stopwatch artifact after an unanswered edge (ledger #1215, #1216); those events sit in '&lt; 2 us'. Run A/B storm build: ledger #1214 found no storm reaching the ESP32 in its first storm run (wire), so only #1215/#1216 storm numbers are used.</t>
  </si>
  <si>
    <t xml:space="preserve">C1 versions 2 and 3: every run, quiet and storm (answer time counted by the Tang, 27 MHz; storm = ESP32 pin IO21 edges every 26-102 us)</t>
  </si>
  <si>
    <t xml:space="preserve">All values parsed from the saved result files by tools/make_comparison_sheet_v1.py. Unanswered = Tang waited and the ESP32 never changed the answer pin.</t>
  </si>
  <si>
    <t xml:space="preserve">Ledger</t>
  </si>
  <si>
    <t xml:space="preserve">Run label</t>
  </si>
  <si>
    <t xml:space="preserve">Sketch</t>
  </si>
  <si>
    <t xml:space="preserve">Storm work per interrupt (us)</t>
  </si>
  <si>
    <t xml:space="preserve">Result</t>
  </si>
  <si>
    <t xml:space="preserve">Timed events</t>
  </si>
  <si>
    <t xml:space="preserve">Unanswered rising</t>
  </si>
  <si>
    <t xml:space="preserve">Unanswered falling</t>
  </si>
  <si>
    <t xml:space="preserve">Unanswered total</t>
  </si>
  <si>
    <t xml:space="preserve">Share &gt;= 10 us</t>
  </si>
  <si>
    <t xml:space="preserve">ESP32 edge-handler runs</t>
  </si>
  <si>
    <t xml:space="preserve">ESP32 storm interrupts</t>
  </si>
  <si>
    <t xml:space="preserve">loopON</t>
  </si>
  <si>
    <t xml:space="preserve">v2</t>
  </si>
  <si>
    <t xml:space="preserve">c1_quiet</t>
  </si>
  <si>
    <t xml:space="preserve">P</t>
  </si>
  <si>
    <t xml:space="preserve">fpga/board_tests_c1_v2/card_run_18oct_loopON/board_results_on.txt</t>
  </si>
  <si>
    <t xml:space="preserve">c1_storm</t>
  </si>
  <si>
    <t xml:space="preserve">F</t>
  </si>
  <si>
    <t xml:space="preserve">loop1</t>
  </si>
  <si>
    <t xml:space="preserve">fpga/board_tests_c1_v2/card_run_18oct_loop1/board_results_on.txt</t>
  </si>
  <si>
    <t xml:space="preserve">loop1_b</t>
  </si>
  <si>
    <t xml:space="preserve">fpga/board_tests_c1_v2/card_run_18oct_loop1_b/board_results_on.txt</t>
  </si>
  <si>
    <t xml:space="preserve">w20a</t>
  </si>
  <si>
    <t xml:space="preserve">not logged</t>
  </si>
  <si>
    <t xml:space="preserve">fpga/board_tests_c1_v2/card_run_18oct_w20a/board_results_w20a.txt</t>
  </si>
  <si>
    <t xml:space="preserve">w20b</t>
  </si>
  <si>
    <t xml:space="preserve">fpga/board_tests_c1_v2/card_run_18oct_w20b/board_results_w20b.txt</t>
  </si>
  <si>
    <t xml:space="preserve">v3a</t>
  </si>
  <si>
    <t xml:space="preserve">v3</t>
  </si>
  <si>
    <t xml:space="preserve">fpga/board_tests_c1_v2/card_run_18oct_v3a/board_results_v3a.txt</t>
  </si>
  <si>
    <t xml:space="preserve">v3b</t>
  </si>
  <si>
    <t xml:space="preserve">fpga/board_tests_c1_v2/card_run_18oct_v3b/board_results_v3b.txt</t>
  </si>
  <si>
    <t xml:space="preserve">v3c</t>
  </si>
  <si>
    <t xml:space="preserve">fpga/board_tests_c1_v2/card_run_18oct_v3c/board_results_v3c.txt</t>
  </si>
  <si>
    <t xml:space="preserve">v3d</t>
  </si>
  <si>
    <t xml:space="preserve">fpga/board_tests_c1_v2/card_run_18oct_v3d/board_results_v3d.txt</t>
  </si>
  <si>
    <t xml:space="preserve">v3d_b</t>
  </si>
  <si>
    <t xml:space="preserve">fpga/board_tests_c1_v2/card_run_18oct_v3d_b/board_results_v3d.txt</t>
  </si>
  <si>
    <t xml:space="preserve">v3e</t>
  </si>
  <si>
    <t xml:space="preserve">fpga/board_tests_c1_v2/card_run_18oct_v3e/board_results_v3e.txt</t>
  </si>
  <si>
    <t xml:space="preserve">Notes: #1222 had no ESP32 log (port flag missing) so loop state and handler counts are not logged. In #1221 and #1229 the quiet ESP32 count is a capture shortfall, not lost edges (ledger #1221, #1229). The compute loop was OFF in #1219 (folder name says loopON by mistake) and #1231. Storm = 'c1_storm' builds. Units: Rise/Fall avg and Max in us are clock counts divided by the Tang clock in Settings.</t>
  </si>
  <si>
    <t xml:space="preserve">C2: ESP32 threads against the watched job (ledger #1213) and the Tang counterpart</t>
  </si>
  <si>
    <t xml:space="preserve">Each device compared with itself (single thread against several). Numbers typed from ledger #1213; Tang counterpart from #1180/#1181 (T1/T4).</t>
  </si>
  <si>
    <t xml:space="preserve">Case</t>
  </si>
  <si>
    <t xml:space="preserve">Cores used</t>
  </si>
  <si>
    <t xml:space="preserve">Threads</t>
  </si>
  <si>
    <t xml:space="preserve">Watched job avg (us)</t>
  </si>
  <si>
    <t xml:space="preserve">Jobs per second (all cores)</t>
  </si>
  <si>
    <t xml:space="preserve">Slowdown vs 1 thread</t>
  </si>
  <si>
    <t xml:space="preserve">Watched job in ESP32 cycles</t>
  </si>
  <si>
    <t xml:space="preserve">Source</t>
  </si>
  <si>
    <t xml:space="preserve">1 thread</t>
  </si>
  <si>
    <t xml:space="preserve">core 1</t>
  </si>
  <si>
    <t xml:space="preserve">ledger #1213</t>
  </si>
  <si>
    <t xml:space="preserve">2 threads, one core</t>
  </si>
  <si>
    <t xml:space="preserve">4 threads, one core</t>
  </si>
  <si>
    <t xml:space="preserve">8 threads, one core</t>
  </si>
  <si>
    <t xml:space="preserve">2 threads, both cores</t>
  </si>
  <si>
    <t xml:space="preserve">both</t>
  </si>
  <si>
    <t xml:space="preserve">4 threads, both cores</t>
  </si>
  <si>
    <t xml:space="preserve">8 threads, both cores</t>
  </si>
  <si>
    <t xml:space="preserve">Tang counterpart (T1/T4, ledger #1180, #1181): the same small job took</t>
  </si>
  <si>
    <t xml:space="preserve">Clocks, alone / beside 4 and 8 storm lanes / 4 copies at once</t>
  </si>
  <si>
    <t xml:space="preserve">Time (us)</t>
  </si>
  <si>
    <t xml:space="preserve">Not the same job as the ESP32's (different size), so only the flatness is compared, not the absolute speed.</t>
  </si>
  <si>
    <t xml:space="preserve">T4: how short a pulse the UniCell input catches (512 pulses per width, Tang drives itself via the jumper)</t>
  </si>
  <si>
    <t xml:space="preserve">Caught chance should be about width / 27,000 clocks (the 1 ms sampling window), up to 100%.</t>
  </si>
  <si>
    <t xml:space="preserve">Width (us)</t>
  </si>
  <si>
    <t xml:space="preserve">Width (clocks)</t>
  </si>
  <si>
    <t xml:space="preserve">Width in ESP32 cycles</t>
  </si>
  <si>
    <t xml:space="preserve">Idle build caught</t>
  </si>
  <si>
    <t xml:space="preserve">Busy build caught</t>
  </si>
  <si>
    <t xml:space="preserve">Pulses per width</t>
  </si>
  <si>
    <t xml:space="preserve">Idle caught %</t>
  </si>
  <si>
    <t xml:space="preserve">Busy caught %</t>
  </si>
  <si>
    <t xml:space="preserve">Expected % (width / 1 ms)</t>
  </si>
  <si>
    <t xml:space="preserve">Idle minus expected (points)</t>
  </si>
  <si>
    <t xml:space="preserve">Busy minus idle (pulses)</t>
  </si>
  <si>
    <t xml:space="preserve">Source: fpga/board_tests_pulse/card_run_18oct_a/46628cdc-board_results_a.txt. 27,000 in column I is the 1 ms sampling window in clocks (T2). Idle and busy builds catch the same pulses at every width.</t>
  </si>
  <si>
    <t xml:space="preserve">P1: how short a pulse the ESP32 catches (512 pulses per width, Tang drives; ESP32 rising-edge handler toggles an answer pin)</t>
  </si>
  <si>
    <t xml:space="preserve">Caught = answer pin changed 185 us after the pulse. Storm = 15,670 other interrupts per second on IO21 with 6 us of work each, compute loop on.</t>
  </si>
  <si>
    <t xml:space="preserve">Width (ns)</t>
  </si>
  <si>
    <t xml:space="preserve">Width (Tang clocks)</t>
  </si>
  <si>
    <t xml:space="preserve">Quiet caught</t>
  </si>
  <si>
    <t xml:space="preserve">Storm caught</t>
  </si>
  <si>
    <t xml:space="preserve">Quiet caught %</t>
  </si>
  <si>
    <t xml:space="preserve">Storm caught %</t>
  </si>
  <si>
    <t xml:space="preserve">Storm lost (pulses)</t>
  </si>
  <si>
    <t xml:space="preserve">Total</t>
  </si>
  <si>
    <t xml:space="preserve">Source: fpga/board_tests_esp32_pulse/card_run_18oct_a/faa3445f-board_results_a.txt. ESP32 handler runs counted: quiet 6,152 of 6,152 sent; storm 6,149 of 6,152 sent (-3), with 149,167 storm interrupts. The smallest width, 37 ns, is one Tang clock; the ESP32 pin and wire may stretch it, so this is a limit of what the Tang can send, not of the ESP32.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</si>
</sst>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#,##0.0"/>
    <numFmt numFmtId="167" formatCode="@"/>
    <numFmt numFmtId="168" formatCode="0"/>
    <numFmt numFmtId="169" formatCode="0.0%"/>
    <numFmt numFmtId="170" formatCode="0.000"/>
    <numFmt numFmtId="171" formatCode="0.00%"/>
    <numFmt numFmtId="172" formatCode="#,##0"/>
    <numFmt numFmtId="173" formatCode="#,##0.000"/>
    <numFmt numFmtId="174" formatCode="0.0"/>
    <numFmt numFmtId="17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70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5" customFormat="false" ht="45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customFormat="false" ht="48" hidden="false" customHeight="true" outlineLevel="0" collapsed="false">
      <c r="A6" s="4" t="s">
        <v>10</v>
      </c>
      <c r="B6" s="5" t="n">
        <f aca="false">'T2-T3 UniCell latency'!N5</f>
        <v>0.296296296296296</v>
      </c>
      <c r="C6" s="6" t="s">
        <v>11</v>
      </c>
      <c r="D6" s="5" t="n">
        <f aca="false">AVERAGEIFS('C1 v2-v3 runs'!L5:L26,'C1 v2-v3 runs'!F5:F26,"c1_quiet",'C1 v2-v3 runs'!D5:D26,"ON")</f>
        <v>1.90648148148148</v>
      </c>
      <c r="E6" s="6" t="s">
        <v>12</v>
      </c>
      <c r="F6" s="7" t="n">
        <f aca="false">B6*Settings!$B$4</f>
        <v>71.1111111111111</v>
      </c>
      <c r="G6" s="4" t="s">
        <v>13</v>
      </c>
      <c r="H6" s="4" t="s">
        <v>14</v>
      </c>
    </row>
    <row r="7" customFormat="false" ht="48" hidden="false" customHeight="true" outlineLevel="0" collapsed="false">
      <c r="A7" s="4" t="s">
        <v>15</v>
      </c>
      <c r="B7" s="8" t="n">
        <f aca="false">'T2-T3 UniCell latency'!K5</f>
        <v>504.014814814815</v>
      </c>
      <c r="C7" s="6" t="s">
        <v>16</v>
      </c>
      <c r="D7" s="5" t="n">
        <f aca="false">AVERAGEIFS('C1 v2-v3 runs'!L5:L26,'C1 v2-v3 runs'!F5:F26,"c1_quiet",'C1 v2-v3 runs'!D5:D26,"ON")</f>
        <v>1.90648148148148</v>
      </c>
      <c r="E7" s="6" t="s">
        <v>12</v>
      </c>
      <c r="F7" s="7" t="n">
        <f aca="false">D7*Settings!$B$3</f>
        <v>51.475</v>
      </c>
      <c r="G7" s="4" t="s">
        <v>17</v>
      </c>
      <c r="H7" s="4" t="s">
        <v>14</v>
      </c>
    </row>
    <row r="8" customFormat="false" ht="48" hidden="false" customHeight="true" outlineLevel="0" collapsed="false">
      <c r="A8" s="4" t="s">
        <v>18</v>
      </c>
      <c r="B8" s="8" t="n">
        <f aca="false">'T2-T3 UniCell latency'!J5</f>
        <v>999</v>
      </c>
      <c r="C8" s="6" t="s">
        <v>19</v>
      </c>
      <c r="D8" s="8" t="n">
        <f aca="false">MAX('C1 v2-v3 runs'!N5:N26)</f>
        <v>23.8518518518519</v>
      </c>
      <c r="E8" s="6" t="s">
        <v>20</v>
      </c>
      <c r="F8" s="7" t="n">
        <f aca="false">D8*Settings!$B$3</f>
        <v>644</v>
      </c>
      <c r="G8" s="4" t="s">
        <v>21</v>
      </c>
      <c r="H8" s="4" t="s">
        <v>14</v>
      </c>
    </row>
    <row r="9" customFormat="false" ht="48" hidden="false" customHeight="true" outlineLevel="0" collapsed="false">
      <c r="A9" s="4" t="s">
        <v>22</v>
      </c>
      <c r="B9" s="9" t="s">
        <v>23</v>
      </c>
      <c r="C9" s="6" t="s">
        <v>24</v>
      </c>
      <c r="D9" s="5" t="n">
        <f aca="false">AVERAGEIFS('C1 v2-v3 runs'!L5:L26,'C1 v2-v3 runs'!F5:F26,"c1_storm",'C1 v2-v3 runs'!E5:E26,6)/AVERAGEIFS('C1 v2-v3 runs'!L5:L26,'C1 v2-v3 runs'!F5:F26,"c1_quiet",'C1 v2-v3 runs'!E5:E26,6)</f>
        <v>1.12751036021677</v>
      </c>
      <c r="E9" s="6" t="s">
        <v>25</v>
      </c>
      <c r="F9" s="7"/>
      <c r="G9" s="4" t="s">
        <v>26</v>
      </c>
      <c r="H9" s="4" t="s">
        <v>14</v>
      </c>
    </row>
    <row r="10" customFormat="false" ht="48" hidden="false" customHeight="true" outlineLevel="0" collapsed="false">
      <c r="A10" s="4" t="s">
        <v>27</v>
      </c>
      <c r="B10" s="10" t="s">
        <v>28</v>
      </c>
      <c r="C10" s="6" t="s">
        <v>29</v>
      </c>
      <c r="D10" s="11" t="n">
        <f aca="false">SUMIFS('C1 v2-v3 runs'!K5:K26,'C1 v2-v3 runs'!F5:F26,"c1_storm")</f>
        <v>12</v>
      </c>
      <c r="E10" s="6" t="s">
        <v>30</v>
      </c>
      <c r="F10" s="7"/>
      <c r="G10" s="4" t="s">
        <v>31</v>
      </c>
      <c r="H10" s="4" t="s">
        <v>32</v>
      </c>
    </row>
    <row r="11" customFormat="false" ht="48" hidden="false" customHeight="true" outlineLevel="0" collapsed="false">
      <c r="A11" s="4" t="s">
        <v>33</v>
      </c>
      <c r="B11" s="9" t="s">
        <v>28</v>
      </c>
      <c r="C11" s="6"/>
      <c r="D11" s="12" t="n">
        <f aca="false">SUMIFS('C1 v2-v3 runs'!S5:S26,'C1 v2-v3 runs'!F5:F26,"c1_storm",'C1 v2-v3 runs'!E5:E26,20)/SUMIFS('C1 v2-v3 runs'!H5:H26,'C1 v2-v3 runs'!F5:F26,"c1_storm",'C1 v2-v3 runs'!E5:E26,20)+SUMIFS('C1 v2-v3 runs'!T5:T26,'C1 v2-v3 runs'!F5:F26,"c1_storm",'C1 v2-v3 runs'!E5:E26,20)/SUMIFS('C1 v2-v3 runs'!H5:H26,'C1 v2-v3 runs'!F5:F26,"c1_storm",'C1 v2-v3 runs'!E5:E26,20)</f>
        <v>0.187347337567171</v>
      </c>
      <c r="E11" s="6" t="s">
        <v>34</v>
      </c>
      <c r="F11" s="7"/>
      <c r="G11" s="4" t="s">
        <v>35</v>
      </c>
      <c r="H11" s="4" t="s">
        <v>32</v>
      </c>
    </row>
    <row r="12" customFormat="false" ht="48" hidden="false" customHeight="true" outlineLevel="0" collapsed="false">
      <c r="A12" s="4" t="s">
        <v>36</v>
      </c>
      <c r="B12" s="8" t="n">
        <f aca="false">INDEX('T4 UniCell pulse'!A5:A16,2)</f>
        <v>1000</v>
      </c>
      <c r="C12" s="6" t="s">
        <v>37</v>
      </c>
      <c r="D12" s="13" t="n">
        <f aca="false">INDEX('P1 ESP32 pulse'!A5:A16,COUNTIFS('P1 ESP32 pulse'!G5:G16,1))/1000</f>
        <v>0.037</v>
      </c>
      <c r="E12" s="6" t="s">
        <v>38</v>
      </c>
      <c r="F12" s="7" t="n">
        <f aca="false">B12*Settings!$B$4</f>
        <v>240000</v>
      </c>
      <c r="G12" s="4" t="s">
        <v>39</v>
      </c>
      <c r="H12" s="4" t="s">
        <v>40</v>
      </c>
    </row>
    <row r="13" customFormat="false" ht="48" hidden="false" customHeight="true" outlineLevel="0" collapsed="false">
      <c r="A13" s="4" t="s">
        <v>41</v>
      </c>
      <c r="B13" s="12" t="n">
        <f aca="false">INDEX('T4 UniCell pulse'!G5:G16,6)</f>
        <v>0.08203125</v>
      </c>
      <c r="C13" s="6" t="s">
        <v>42</v>
      </c>
      <c r="D13" s="12" t="n">
        <f aca="false">INDEX('P1 ESP32 pulse'!G5:G16,1)</f>
        <v>1</v>
      </c>
      <c r="E13" s="6" t="s">
        <v>43</v>
      </c>
      <c r="F13" s="7"/>
      <c r="G13" s="4" t="s">
        <v>44</v>
      </c>
      <c r="H13" s="4" t="s">
        <v>40</v>
      </c>
    </row>
    <row r="14" customFormat="false" ht="48" hidden="false" customHeight="true" outlineLevel="0" collapsed="false">
      <c r="A14" s="4" t="s">
        <v>45</v>
      </c>
      <c r="B14" s="9" t="s">
        <v>46</v>
      </c>
      <c r="C14" s="6"/>
      <c r="D14" s="14" t="n">
        <f aca="false">'P1 ESP32 pulse'!H17</f>
        <v>0.99951171875</v>
      </c>
      <c r="E14" s="6" t="s">
        <v>47</v>
      </c>
      <c r="F14" s="7"/>
      <c r="G14" s="4" t="s">
        <v>48</v>
      </c>
      <c r="H14" s="4" t="s">
        <v>40</v>
      </c>
    </row>
    <row r="15" customFormat="false" ht="48" hidden="false" customHeight="true" outlineLevel="0" collapsed="false">
      <c r="A15" s="4" t="s">
        <v>49</v>
      </c>
      <c r="B15" s="9" t="s">
        <v>50</v>
      </c>
      <c r="C15" s="6"/>
      <c r="D15" s="5" t="n">
        <f aca="false">'C2 ESP32 threads'!F8</f>
        <v>8.0232452142206</v>
      </c>
      <c r="E15" s="6" t="s">
        <v>51</v>
      </c>
      <c r="F15" s="7"/>
      <c r="G15" s="4" t="s">
        <v>52</v>
      </c>
      <c r="H15" s="4" t="s">
        <v>53</v>
      </c>
    </row>
    <row r="17" customFormat="false" ht="15" hidden="false" customHeight="false" outlineLevel="0" collapsed="false">
      <c r="A17" s="15" t="s">
        <v>54</v>
      </c>
    </row>
    <row r="18" customFormat="false" ht="15" hidden="false" customHeight="false" outlineLevel="0" collapsed="false">
      <c r="A18" s="16" t="s">
        <v>55</v>
      </c>
    </row>
    <row r="19" customFormat="false" ht="15" hidden="false" customHeight="false" outlineLevel="0" collapsed="false">
      <c r="A19" s="16" t="s">
        <v>56</v>
      </c>
    </row>
    <row r="20" customFormat="false" ht="15" hidden="false" customHeight="false" outlineLevel="0" collapsed="false">
      <c r="A20" s="16" t="s">
        <v>57</v>
      </c>
    </row>
    <row r="21" customFormat="false" ht="15" hidden="false" customHeight="false" outlineLevel="0" collapsed="false">
      <c r="A21" s="16" t="s">
        <v>58</v>
      </c>
    </row>
    <row r="22" customFormat="false" ht="15" hidden="false" customHeight="false" outlineLevel="0" collapsed="false">
      <c r="A22" s="16" t="s">
        <v>59</v>
      </c>
    </row>
    <row r="23" customFormat="false" ht="15" hidden="false" customHeight="false" outlineLevel="0" collapsed="false">
      <c r="A23" s="16" t="s">
        <v>60</v>
      </c>
    </row>
  </sheetData>
  <mergeCells count="1">
    <mergeCell ref="A2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61</v>
      </c>
    </row>
    <row r="3" customFormat="false" ht="15" hidden="false" customHeight="false" outlineLevel="0" collapsed="false">
      <c r="A3" s="15" t="s">
        <v>62</v>
      </c>
      <c r="B3" s="17" t="n">
        <v>27</v>
      </c>
      <c r="C3" s="18" t="s">
        <v>63</v>
      </c>
    </row>
    <row r="4" customFormat="false" ht="15" hidden="false" customHeight="false" outlineLevel="0" collapsed="false">
      <c r="A4" s="15" t="s">
        <v>64</v>
      </c>
      <c r="B4" s="17" t="n">
        <v>240</v>
      </c>
      <c r="C4" s="18" t="s">
        <v>65</v>
      </c>
    </row>
    <row r="6" customFormat="false" ht="15" hidden="false" customHeight="false" outlineLevel="0" collapsed="false">
      <c r="A6" s="15" t="s">
        <v>66</v>
      </c>
      <c r="B6" s="19" t="n">
        <f aca="false">1000/Settings!$B$3</f>
        <v>37.037037037037</v>
      </c>
    </row>
    <row r="7" customFormat="false" ht="15" hidden="false" customHeight="false" outlineLevel="0" collapsed="false">
      <c r="A7" s="15" t="s">
        <v>67</v>
      </c>
      <c r="B7" s="19" t="n">
        <f aca="false">1000/Settings!$B$4</f>
        <v>4.16666666666667</v>
      </c>
    </row>
    <row r="8" customFormat="false" ht="15" hidden="false" customHeight="false" outlineLevel="0" collapsed="false">
      <c r="A8" s="15" t="s">
        <v>68</v>
      </c>
      <c r="B8" s="19" t="n">
        <f aca="false">Settings!$B$4/Settings!$B$3</f>
        <v>8.88888888888889</v>
      </c>
    </row>
    <row r="10" customFormat="false" ht="15" hidden="false" customHeight="true" outlineLevel="0" collapsed="false">
      <c r="A10" s="2" t="s">
        <v>69</v>
      </c>
      <c r="B10" s="2"/>
      <c r="C10" s="2"/>
      <c r="D10" s="2"/>
      <c r="E10" s="2"/>
      <c r="F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</sheetData>
  <mergeCells count="1">
    <mergeCell ref="A10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8" min="6" style="0" width="12"/>
    <col collapsed="false" customWidth="true" hidden="false" outlineLevel="0" max="11" min="9" style="0" width="11"/>
    <col collapsed="false" customWidth="true" hidden="false" outlineLevel="0" max="14" min="12" style="0" width="10"/>
    <col collapsed="false" customWidth="true" hidden="false" outlineLevel="0" max="15" min="15" style="0" width="16"/>
    <col collapsed="false" customWidth="true" hidden="false" outlineLevel="0" max="16" min="16" style="0" width="10"/>
    <col collapsed="false" customWidth="true" hidden="false" outlineLevel="0" max="17" min="17" style="0" width="62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0" t="s">
        <v>71</v>
      </c>
    </row>
    <row r="4" customFormat="false" ht="45" hidden="false" customHeight="true" outlineLevel="0" collapsed="false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79</v>
      </c>
      <c r="I4" s="3" t="s">
        <v>80</v>
      </c>
      <c r="J4" s="3" t="s">
        <v>81</v>
      </c>
      <c r="K4" s="3" t="s">
        <v>82</v>
      </c>
      <c r="L4" s="3" t="s">
        <v>83</v>
      </c>
      <c r="M4" s="3" t="s">
        <v>84</v>
      </c>
      <c r="N4" s="3" t="s">
        <v>85</v>
      </c>
      <c r="O4" s="3" t="s">
        <v>86</v>
      </c>
      <c r="P4" s="3" t="s">
        <v>87</v>
      </c>
      <c r="Q4" s="3" t="s">
        <v>88</v>
      </c>
    </row>
    <row r="5" customFormat="false" ht="15" hidden="false" customHeight="false" outlineLevel="0" collapsed="false">
      <c r="A5" s="6" t="s">
        <v>89</v>
      </c>
      <c r="B5" s="6" t="s">
        <v>90</v>
      </c>
      <c r="C5" s="6" t="s">
        <v>91</v>
      </c>
      <c r="D5" s="21" t="n">
        <v>2048</v>
      </c>
      <c r="E5" s="21" t="n">
        <v>0</v>
      </c>
      <c r="F5" s="22" t="n">
        <v>18</v>
      </c>
      <c r="G5" s="22" t="n">
        <v>26973</v>
      </c>
      <c r="H5" s="23" t="n">
        <v>13608.4</v>
      </c>
      <c r="I5" s="24" t="n">
        <f aca="false">F5/Settings!$B$3</f>
        <v>0.666666666666667</v>
      </c>
      <c r="J5" s="24" t="n">
        <f aca="false">G5/Settings!$B$3</f>
        <v>999</v>
      </c>
      <c r="K5" s="24" t="n">
        <f aca="false">H5/Settings!$B$3</f>
        <v>504.014814814815</v>
      </c>
      <c r="L5" s="21" t="n">
        <v>8</v>
      </c>
      <c r="M5" s="21" t="n">
        <v>8</v>
      </c>
      <c r="N5" s="25" t="n">
        <f aca="false">L5/Settings!$B$3</f>
        <v>0.296296296296296</v>
      </c>
      <c r="O5" s="26" t="n">
        <f aca="false">N5*Settings!$B$4</f>
        <v>71.1111111111111</v>
      </c>
      <c r="P5" s="21"/>
      <c r="Q5" s="6" t="s">
        <v>92</v>
      </c>
    </row>
    <row r="6" customFormat="false" ht="15" hidden="false" customHeight="false" outlineLevel="0" collapsed="false">
      <c r="A6" s="6" t="s">
        <v>89</v>
      </c>
      <c r="B6" s="6" t="s">
        <v>93</v>
      </c>
      <c r="C6" s="6" t="s">
        <v>94</v>
      </c>
      <c r="D6" s="21" t="n">
        <v>2048</v>
      </c>
      <c r="E6" s="21" t="n">
        <v>0</v>
      </c>
      <c r="F6" s="22" t="n">
        <v>18</v>
      </c>
      <c r="G6" s="22" t="n">
        <v>26973</v>
      </c>
      <c r="H6" s="23" t="n">
        <v>13608.4</v>
      </c>
      <c r="I6" s="24" t="n">
        <f aca="false">F6/Settings!$B$3</f>
        <v>0.666666666666667</v>
      </c>
      <c r="J6" s="24" t="n">
        <f aca="false">G6/Settings!$B$3</f>
        <v>999</v>
      </c>
      <c r="K6" s="24" t="n">
        <f aca="false">H6/Settings!$B$3</f>
        <v>504.014814814815</v>
      </c>
      <c r="L6" s="21" t="n">
        <v>8</v>
      </c>
      <c r="M6" s="21" t="n">
        <v>8</v>
      </c>
      <c r="N6" s="25" t="n">
        <f aca="false">L6/Settings!$B$3</f>
        <v>0.296296296296296</v>
      </c>
      <c r="O6" s="26" t="n">
        <f aca="false">N6*Settings!$B$4</f>
        <v>71.1111111111111</v>
      </c>
      <c r="P6" s="21"/>
      <c r="Q6" s="6" t="s">
        <v>92</v>
      </c>
    </row>
    <row r="7" customFormat="false" ht="15" hidden="false" customHeight="false" outlineLevel="0" collapsed="false">
      <c r="A7" s="6" t="s">
        <v>95</v>
      </c>
      <c r="B7" s="6" t="s">
        <v>90</v>
      </c>
      <c r="C7" s="6" t="s">
        <v>91</v>
      </c>
      <c r="D7" s="21" t="n">
        <v>2048</v>
      </c>
      <c r="E7" s="21" t="n">
        <v>0</v>
      </c>
      <c r="F7" s="22" t="n">
        <v>16</v>
      </c>
      <c r="G7" s="22" t="n">
        <v>27000</v>
      </c>
      <c r="H7" s="23" t="n">
        <v>14016.8</v>
      </c>
      <c r="I7" s="24" t="n">
        <f aca="false">F7/Settings!$B$3</f>
        <v>0.592592592592593</v>
      </c>
      <c r="J7" s="24" t="n">
        <f aca="false">G7/Settings!$B$3</f>
        <v>1000</v>
      </c>
      <c r="K7" s="24" t="n">
        <f aca="false">H7/Settings!$B$3</f>
        <v>519.140740740741</v>
      </c>
      <c r="L7" s="21" t="n">
        <v>8</v>
      </c>
      <c r="M7" s="21" t="n">
        <v>8</v>
      </c>
      <c r="N7" s="25" t="n">
        <f aca="false">L7/Settings!$B$3</f>
        <v>0.296296296296296</v>
      </c>
      <c r="O7" s="26" t="n">
        <f aca="false">N7*Settings!$B$4</f>
        <v>71.1111111111111</v>
      </c>
      <c r="P7" s="21"/>
      <c r="Q7" s="6" t="s">
        <v>92</v>
      </c>
    </row>
    <row r="8" customFormat="false" ht="15" hidden="false" customHeight="false" outlineLevel="0" collapsed="false">
      <c r="A8" s="6" t="s">
        <v>95</v>
      </c>
      <c r="B8" s="6" t="s">
        <v>93</v>
      </c>
      <c r="C8" s="6" t="s">
        <v>94</v>
      </c>
      <c r="D8" s="21" t="n">
        <v>2048</v>
      </c>
      <c r="E8" s="21" t="n">
        <v>0</v>
      </c>
      <c r="F8" s="22" t="n">
        <v>16</v>
      </c>
      <c r="G8" s="22" t="n">
        <v>27000</v>
      </c>
      <c r="H8" s="23" t="n">
        <v>14016.8</v>
      </c>
      <c r="I8" s="24" t="n">
        <f aca="false">F8/Settings!$B$3</f>
        <v>0.592592592592593</v>
      </c>
      <c r="J8" s="24" t="n">
        <f aca="false">G8/Settings!$B$3</f>
        <v>1000</v>
      </c>
      <c r="K8" s="24" t="n">
        <f aca="false">H8/Settings!$B$3</f>
        <v>519.140740740741</v>
      </c>
      <c r="L8" s="21" t="n">
        <v>8</v>
      </c>
      <c r="M8" s="21" t="n">
        <v>8</v>
      </c>
      <c r="N8" s="25" t="n">
        <f aca="false">L8/Settings!$B$3</f>
        <v>0.296296296296296</v>
      </c>
      <c r="O8" s="26" t="n">
        <f aca="false">N8*Settings!$B$4</f>
        <v>71.1111111111111</v>
      </c>
      <c r="P8" s="21"/>
      <c r="Q8" s="6" t="s">
        <v>92</v>
      </c>
    </row>
    <row r="9" customFormat="false" ht="15" hidden="false" customHeight="false" outlineLevel="0" collapsed="false">
      <c r="A9" s="6" t="s">
        <v>96</v>
      </c>
      <c r="B9" s="6" t="s">
        <v>97</v>
      </c>
      <c r="C9" s="6" t="s">
        <v>91</v>
      </c>
      <c r="D9" s="21" t="n">
        <v>2048</v>
      </c>
      <c r="E9" s="21" t="n">
        <v>0</v>
      </c>
      <c r="F9" s="22" t="n">
        <v>14</v>
      </c>
      <c r="G9" s="22" t="n">
        <v>26970</v>
      </c>
      <c r="H9" s="23" t="n">
        <v>13639.1</v>
      </c>
      <c r="I9" s="24" t="n">
        <f aca="false">F9/Settings!$B$3</f>
        <v>0.518518518518519</v>
      </c>
      <c r="J9" s="24" t="n">
        <f aca="false">G9/Settings!$B$3</f>
        <v>998.888888888889</v>
      </c>
      <c r="K9" s="24" t="n">
        <f aca="false">H9/Settings!$B$3</f>
        <v>505.151851851852</v>
      </c>
      <c r="L9" s="21" t="n">
        <v>8</v>
      </c>
      <c r="M9" s="21" t="n">
        <v>8</v>
      </c>
      <c r="N9" s="25" t="n">
        <f aca="false">L9/Settings!$B$3</f>
        <v>0.296296296296296</v>
      </c>
      <c r="O9" s="26" t="n">
        <f aca="false">N9*Settings!$B$4</f>
        <v>71.1111111111111</v>
      </c>
      <c r="P9" s="21"/>
      <c r="Q9" s="6" t="s">
        <v>98</v>
      </c>
    </row>
    <row r="10" customFormat="false" ht="15" hidden="false" customHeight="false" outlineLevel="0" collapsed="false">
      <c r="A10" s="6" t="s">
        <v>96</v>
      </c>
      <c r="B10" s="6" t="s">
        <v>99</v>
      </c>
      <c r="C10" s="6" t="s">
        <v>94</v>
      </c>
      <c r="D10" s="21" t="n">
        <v>2048</v>
      </c>
      <c r="E10" s="21" t="n">
        <v>0</v>
      </c>
      <c r="F10" s="22" t="n">
        <v>14</v>
      </c>
      <c r="G10" s="22" t="n">
        <v>26970</v>
      </c>
      <c r="H10" s="23" t="n">
        <v>13639.1</v>
      </c>
      <c r="I10" s="24" t="n">
        <f aca="false">F10/Settings!$B$3</f>
        <v>0.518518518518519</v>
      </c>
      <c r="J10" s="24" t="n">
        <f aca="false">G10/Settings!$B$3</f>
        <v>998.888888888889</v>
      </c>
      <c r="K10" s="24" t="n">
        <f aca="false">H10/Settings!$B$3</f>
        <v>505.151851851852</v>
      </c>
      <c r="L10" s="21" t="n">
        <v>8</v>
      </c>
      <c r="M10" s="21" t="n">
        <v>8</v>
      </c>
      <c r="N10" s="25" t="n">
        <f aca="false">L10/Settings!$B$3</f>
        <v>0.296296296296296</v>
      </c>
      <c r="O10" s="26" t="n">
        <f aca="false">N10*Settings!$B$4</f>
        <v>71.1111111111111</v>
      </c>
      <c r="P10" s="21"/>
      <c r="Q10" s="6" t="s">
        <v>98</v>
      </c>
    </row>
    <row r="11" customFormat="false" ht="15" hidden="false" customHeight="false" outlineLevel="0" collapsed="false">
      <c r="A11" s="6" t="s">
        <v>100</v>
      </c>
      <c r="B11" s="6" t="s">
        <v>97</v>
      </c>
      <c r="C11" s="6" t="s">
        <v>91</v>
      </c>
      <c r="D11" s="21" t="n">
        <v>2048</v>
      </c>
      <c r="E11" s="21" t="n">
        <v>0</v>
      </c>
      <c r="F11" s="22" t="n">
        <v>2075</v>
      </c>
      <c r="G11" s="22" t="n">
        <v>87605</v>
      </c>
      <c r="H11" s="23" t="n">
        <v>46768.8</v>
      </c>
      <c r="I11" s="24" t="n">
        <f aca="false">F11/Settings!$B$3</f>
        <v>76.8518518518519</v>
      </c>
      <c r="J11" s="24" t="n">
        <f aca="false">G11/Settings!$B$3</f>
        <v>3244.62962962963</v>
      </c>
      <c r="K11" s="24" t="n">
        <f aca="false">H11/Settings!$B$3</f>
        <v>1732.17777777778</v>
      </c>
      <c r="L11" s="21" t="n">
        <v>8</v>
      </c>
      <c r="M11" s="21" t="n">
        <v>8</v>
      </c>
      <c r="N11" s="25" t="n">
        <f aca="false">L11/Settings!$B$3</f>
        <v>0.296296296296296</v>
      </c>
      <c r="O11" s="26" t="n">
        <f aca="false">N11*Settings!$B$4</f>
        <v>71.1111111111111</v>
      </c>
      <c r="P11" s="21" t="n">
        <v>307</v>
      </c>
      <c r="Q11" s="6" t="s">
        <v>98</v>
      </c>
    </row>
    <row r="12" customFormat="false" ht="15" hidden="false" customHeight="false" outlineLevel="0" collapsed="false">
      <c r="A12" s="6" t="s">
        <v>100</v>
      </c>
      <c r="B12" s="6" t="s">
        <v>99</v>
      </c>
      <c r="C12" s="6" t="s">
        <v>94</v>
      </c>
      <c r="D12" s="21" t="n">
        <v>2048</v>
      </c>
      <c r="E12" s="21" t="n">
        <v>0</v>
      </c>
      <c r="F12" s="22" t="n">
        <v>2075</v>
      </c>
      <c r="G12" s="22" t="n">
        <v>87605</v>
      </c>
      <c r="H12" s="23" t="n">
        <v>46768.8</v>
      </c>
      <c r="I12" s="24" t="n">
        <f aca="false">F12/Settings!$B$3</f>
        <v>76.8518518518519</v>
      </c>
      <c r="J12" s="24" t="n">
        <f aca="false">G12/Settings!$B$3</f>
        <v>3244.62962962963</v>
      </c>
      <c r="K12" s="24" t="n">
        <f aca="false">H12/Settings!$B$3</f>
        <v>1732.17777777778</v>
      </c>
      <c r="L12" s="21" t="n">
        <v>8</v>
      </c>
      <c r="M12" s="21" t="n">
        <v>8</v>
      </c>
      <c r="N12" s="25" t="n">
        <f aca="false">L12/Settings!$B$3</f>
        <v>0.296296296296296</v>
      </c>
      <c r="O12" s="26" t="n">
        <f aca="false">N12*Settings!$B$4</f>
        <v>71.1111111111111</v>
      </c>
      <c r="P12" s="21" t="n">
        <v>307</v>
      </c>
      <c r="Q12" s="6" t="s">
        <v>98</v>
      </c>
    </row>
    <row r="14" customFormat="false" ht="15" hidden="false" customHeight="false" outlineLevel="0" collapsed="false">
      <c r="A14" s="16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11" min="5" style="0" width="9"/>
    <col collapsed="false" customWidth="true" hidden="false" outlineLevel="0" max="13" min="12" style="0" width="10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21" min="16" style="0" width="8"/>
    <col collapsed="false" customWidth="true" hidden="false" outlineLevel="0" max="23" min="22" style="0" width="10"/>
    <col collapsed="false" customWidth="true" hidden="false" outlineLevel="0" max="24" min="24" style="0" width="54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0" t="s">
        <v>103</v>
      </c>
    </row>
    <row r="4" customFormat="false" ht="45" hidden="false" customHeight="true" outlineLevel="0" collapsed="false">
      <c r="A4" s="3" t="s">
        <v>104</v>
      </c>
      <c r="B4" s="3" t="s">
        <v>105</v>
      </c>
      <c r="C4" s="3" t="s">
        <v>106</v>
      </c>
      <c r="D4" s="3" t="s">
        <v>75</v>
      </c>
      <c r="E4" s="3" t="s">
        <v>76</v>
      </c>
      <c r="F4" s="3" t="s">
        <v>107</v>
      </c>
      <c r="G4" s="3" t="s">
        <v>108</v>
      </c>
      <c r="H4" s="3" t="s">
        <v>109</v>
      </c>
      <c r="I4" s="3" t="s">
        <v>110</v>
      </c>
      <c r="J4" s="3" t="s">
        <v>111</v>
      </c>
      <c r="K4" s="3" t="s">
        <v>112</v>
      </c>
      <c r="L4" s="3" t="s">
        <v>113</v>
      </c>
      <c r="M4" s="3" t="s">
        <v>114</v>
      </c>
      <c r="N4" s="3" t="s">
        <v>115</v>
      </c>
      <c r="O4" s="3" t="s">
        <v>116</v>
      </c>
      <c r="P4" s="3" t="s">
        <v>117</v>
      </c>
      <c r="Q4" s="3" t="s">
        <v>118</v>
      </c>
      <c r="R4" s="3" t="s">
        <v>119</v>
      </c>
      <c r="S4" s="3" t="s">
        <v>120</v>
      </c>
      <c r="T4" s="3" t="s">
        <v>121</v>
      </c>
      <c r="U4" s="3" t="s">
        <v>122</v>
      </c>
      <c r="V4" s="3" t="s">
        <v>123</v>
      </c>
      <c r="W4" s="3" t="s">
        <v>124</v>
      </c>
      <c r="X4" s="3" t="s">
        <v>88</v>
      </c>
    </row>
    <row r="5" customFormat="false" ht="15" hidden="false" customHeight="false" outlineLevel="0" collapsed="false">
      <c r="A5" s="6" t="s">
        <v>125</v>
      </c>
      <c r="B5" s="6" t="s">
        <v>126</v>
      </c>
      <c r="C5" s="6" t="s">
        <v>127</v>
      </c>
      <c r="D5" s="21" t="n">
        <v>4096</v>
      </c>
      <c r="E5" s="21" t="n">
        <v>0</v>
      </c>
      <c r="F5" s="21" t="n">
        <v>32</v>
      </c>
      <c r="G5" s="21" t="n">
        <v>110</v>
      </c>
      <c r="H5" s="21" t="n">
        <v>51.2</v>
      </c>
      <c r="I5" s="21" t="n">
        <v>36</v>
      </c>
      <c r="J5" s="21" t="n">
        <v>111</v>
      </c>
      <c r="K5" s="21" t="n">
        <v>52.2</v>
      </c>
      <c r="L5" s="27" t="n">
        <f aca="false">H5/Settings!$B$3</f>
        <v>1.8962962962963</v>
      </c>
      <c r="M5" s="27" t="n">
        <f aca="false">K5/Settings!$B$3</f>
        <v>1.93333333333333</v>
      </c>
      <c r="N5" s="27" t="n">
        <f aca="false">MAX(G5,J5)/Settings!$B$3</f>
        <v>4.11111111111111</v>
      </c>
      <c r="O5" s="10" t="n">
        <f aca="false">L5*Settings!$B$4</f>
        <v>455.111111111111</v>
      </c>
      <c r="P5" s="21" t="n">
        <v>4031</v>
      </c>
      <c r="Q5" s="21" t="n">
        <v>65</v>
      </c>
      <c r="R5" s="21" t="n">
        <v>0</v>
      </c>
      <c r="S5" s="21" t="n">
        <v>0</v>
      </c>
      <c r="T5" s="21" t="n">
        <v>0</v>
      </c>
      <c r="U5" s="21" t="n">
        <v>0</v>
      </c>
      <c r="V5" s="28" t="n">
        <f aca="false">SUM(Q5:U5)/SUM(P5:U5)</f>
        <v>0.015869140625</v>
      </c>
      <c r="W5" s="28" t="n">
        <f aca="false">SUM(R5:U5)/SUM(P5:U5)</f>
        <v>0</v>
      </c>
      <c r="X5" s="6" t="s">
        <v>128</v>
      </c>
    </row>
    <row r="6" customFormat="false" ht="15" hidden="false" customHeight="false" outlineLevel="0" collapsed="false">
      <c r="A6" s="6" t="s">
        <v>129</v>
      </c>
      <c r="B6" s="6" t="s">
        <v>126</v>
      </c>
      <c r="C6" s="6" t="s">
        <v>130</v>
      </c>
      <c r="D6" s="21" t="n">
        <v>4096</v>
      </c>
      <c r="E6" s="21" t="n">
        <v>1</v>
      </c>
      <c r="F6" s="21" t="n">
        <v>20</v>
      </c>
      <c r="G6" s="21" t="n">
        <v>252</v>
      </c>
      <c r="H6" s="21" t="n">
        <v>58.6</v>
      </c>
      <c r="I6" s="21" t="n">
        <v>1</v>
      </c>
      <c r="J6" s="21" t="n">
        <v>210</v>
      </c>
      <c r="K6" s="21" t="n">
        <v>58.9</v>
      </c>
      <c r="L6" s="27" t="n">
        <f aca="false">H6/Settings!$B$3</f>
        <v>2.17037037037037</v>
      </c>
      <c r="M6" s="27" t="n">
        <f aca="false">K6/Settings!$B$3</f>
        <v>2.18148148148148</v>
      </c>
      <c r="N6" s="27" t="n">
        <f aca="false">MAX(G6,J6)/Settings!$B$3</f>
        <v>9.33333333333333</v>
      </c>
      <c r="O6" s="10" t="n">
        <f aca="false">L6*Settings!$B$4</f>
        <v>520.888888888889</v>
      </c>
      <c r="P6" s="21" t="n">
        <v>3611</v>
      </c>
      <c r="Q6" s="21" t="n">
        <v>315</v>
      </c>
      <c r="R6" s="21" t="n">
        <v>169</v>
      </c>
      <c r="S6" s="21" t="n">
        <v>0</v>
      </c>
      <c r="T6" s="21" t="n">
        <v>0</v>
      </c>
      <c r="U6" s="21" t="n">
        <v>0</v>
      </c>
      <c r="V6" s="28" t="n">
        <f aca="false">SUM(Q6:U6)/SUM(P6:U6)</f>
        <v>0.118192918192918</v>
      </c>
      <c r="W6" s="28" t="n">
        <f aca="false">SUM(R6:U6)/SUM(P6:U6)</f>
        <v>0.0412698412698413</v>
      </c>
      <c r="X6" s="6" t="s">
        <v>128</v>
      </c>
    </row>
    <row r="7" customFormat="false" ht="15" hidden="false" customHeight="false" outlineLevel="0" collapsed="false">
      <c r="A7" s="6" t="s">
        <v>131</v>
      </c>
      <c r="B7" s="6" t="s">
        <v>132</v>
      </c>
      <c r="C7" s="6" t="s">
        <v>127</v>
      </c>
      <c r="D7" s="21" t="n">
        <v>4096</v>
      </c>
      <c r="E7" s="21" t="n">
        <v>0</v>
      </c>
      <c r="F7" s="21" t="n">
        <v>51</v>
      </c>
      <c r="G7" s="21" t="n">
        <v>172</v>
      </c>
      <c r="H7" s="21" t="n">
        <v>56.4</v>
      </c>
      <c r="I7" s="21" t="n">
        <v>30</v>
      </c>
      <c r="J7" s="21" t="n">
        <v>170</v>
      </c>
      <c r="K7" s="21" t="n">
        <v>56.9</v>
      </c>
      <c r="L7" s="27" t="n">
        <f aca="false">H7/Settings!$B$3</f>
        <v>2.08888888888889</v>
      </c>
      <c r="M7" s="27" t="n">
        <f aca="false">K7/Settings!$B$3</f>
        <v>2.10740740740741</v>
      </c>
      <c r="N7" s="27" t="n">
        <f aca="false">MAX(G7,J7)/Settings!$B$3</f>
        <v>6.37037037037037</v>
      </c>
      <c r="O7" s="10" t="n">
        <f aca="false">L7*Settings!$B$4</f>
        <v>501.333333333333</v>
      </c>
      <c r="P7" s="21" t="n">
        <v>12</v>
      </c>
      <c r="Q7" s="21" t="n">
        <v>4076</v>
      </c>
      <c r="R7" s="21" t="n">
        <v>8</v>
      </c>
      <c r="S7" s="21" t="n">
        <v>0</v>
      </c>
      <c r="T7" s="21" t="n">
        <v>0</v>
      </c>
      <c r="U7" s="21" t="n">
        <v>0</v>
      </c>
      <c r="V7" s="28" t="n">
        <f aca="false">SUM(Q7:U7)/SUM(P7:U7)</f>
        <v>0.9970703125</v>
      </c>
      <c r="W7" s="28" t="n">
        <f aca="false">SUM(R7:U7)/SUM(P7:U7)</f>
        <v>0.001953125</v>
      </c>
      <c r="X7" s="6" t="s">
        <v>133</v>
      </c>
    </row>
    <row r="8" customFormat="false" ht="15" hidden="false" customHeight="false" outlineLevel="0" collapsed="false">
      <c r="A8" s="6" t="s">
        <v>134</v>
      </c>
      <c r="B8" s="6" t="s">
        <v>132</v>
      </c>
      <c r="C8" s="6" t="s">
        <v>130</v>
      </c>
      <c r="D8" s="21" t="n">
        <v>4096</v>
      </c>
      <c r="E8" s="21" t="n">
        <v>2</v>
      </c>
      <c r="F8" s="21" t="n">
        <v>1</v>
      </c>
      <c r="G8" s="21" t="n">
        <v>216</v>
      </c>
      <c r="H8" s="21" t="n">
        <v>62.7</v>
      </c>
      <c r="I8" s="21" t="n">
        <v>1</v>
      </c>
      <c r="J8" s="21" t="n">
        <v>209</v>
      </c>
      <c r="K8" s="21" t="n">
        <v>63.4</v>
      </c>
      <c r="L8" s="27" t="n">
        <f aca="false">H8/Settings!$B$3</f>
        <v>2.32222222222222</v>
      </c>
      <c r="M8" s="27" t="n">
        <f aca="false">K8/Settings!$B$3</f>
        <v>2.34814814814815</v>
      </c>
      <c r="N8" s="27" t="n">
        <f aca="false">MAX(G8,J8)/Settings!$B$3</f>
        <v>8</v>
      </c>
      <c r="O8" s="10" t="n">
        <f aca="false">L8*Settings!$B$4</f>
        <v>557.333333333333</v>
      </c>
      <c r="P8" s="21" t="n">
        <v>194</v>
      </c>
      <c r="Q8" s="21" t="n">
        <v>3708</v>
      </c>
      <c r="R8" s="21" t="n">
        <v>192</v>
      </c>
      <c r="S8" s="21" t="n">
        <v>0</v>
      </c>
      <c r="T8" s="21" t="n">
        <v>0</v>
      </c>
      <c r="U8" s="21" t="n">
        <v>0</v>
      </c>
      <c r="V8" s="28" t="n">
        <f aca="false">SUM(Q8:U8)/SUM(P8:U8)</f>
        <v>0.952613580850025</v>
      </c>
      <c r="W8" s="28" t="n">
        <f aca="false">SUM(R8:U8)/SUM(P8:U8)</f>
        <v>0.0468978993649243</v>
      </c>
      <c r="X8" s="6" t="s">
        <v>133</v>
      </c>
    </row>
    <row r="10" customFormat="false" ht="15" hidden="false" customHeight="false" outlineLevel="0" collapsed="false">
      <c r="A10" s="16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11" min="9" style="0" width="10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12"/>
    <col collapsed="false" customWidth="true" hidden="false" outlineLevel="0" max="21" min="16" style="0" width="8"/>
    <col collapsed="false" customWidth="true" hidden="false" outlineLevel="0" max="23" min="22" style="0" width="9"/>
    <col collapsed="false" customWidth="true" hidden="false" outlineLevel="0" max="24" min="24" style="0" width="11"/>
    <col collapsed="false" customWidth="true" hidden="false" outlineLevel="0" max="25" min="25" style="0" width="12"/>
    <col collapsed="false" customWidth="true" hidden="false" outlineLevel="0" max="26" min="26" style="0" width="66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0" t="s">
        <v>137</v>
      </c>
    </row>
    <row r="4" customFormat="false" ht="45" hidden="false" customHeight="true" outlineLevel="0" collapsed="false">
      <c r="A4" s="3" t="s">
        <v>138</v>
      </c>
      <c r="B4" s="3" t="s">
        <v>139</v>
      </c>
      <c r="C4" s="3" t="s">
        <v>140</v>
      </c>
      <c r="D4" s="3" t="s">
        <v>105</v>
      </c>
      <c r="E4" s="3" t="s">
        <v>141</v>
      </c>
      <c r="F4" s="3" t="s">
        <v>106</v>
      </c>
      <c r="G4" s="3" t="s">
        <v>142</v>
      </c>
      <c r="H4" s="3" t="s">
        <v>143</v>
      </c>
      <c r="I4" s="3" t="s">
        <v>144</v>
      </c>
      <c r="J4" s="3" t="s">
        <v>145</v>
      </c>
      <c r="K4" s="3" t="s">
        <v>146</v>
      </c>
      <c r="L4" s="3" t="s">
        <v>113</v>
      </c>
      <c r="M4" s="3" t="s">
        <v>114</v>
      </c>
      <c r="N4" s="3" t="s">
        <v>115</v>
      </c>
      <c r="O4" s="3" t="s">
        <v>116</v>
      </c>
      <c r="P4" s="3" t="s">
        <v>117</v>
      </c>
      <c r="Q4" s="3" t="s">
        <v>118</v>
      </c>
      <c r="R4" s="3" t="s">
        <v>119</v>
      </c>
      <c r="S4" s="3" t="s">
        <v>120</v>
      </c>
      <c r="T4" s="3" t="s">
        <v>121</v>
      </c>
      <c r="U4" s="3" t="s">
        <v>122</v>
      </c>
      <c r="V4" s="3" t="s">
        <v>124</v>
      </c>
      <c r="W4" s="3" t="s">
        <v>147</v>
      </c>
      <c r="X4" s="3" t="s">
        <v>148</v>
      </c>
      <c r="Y4" s="3" t="s">
        <v>149</v>
      </c>
      <c r="Z4" s="3" t="s">
        <v>88</v>
      </c>
    </row>
    <row r="5" customFormat="false" ht="15" hidden="false" customHeight="false" outlineLevel="0" collapsed="false">
      <c r="A5" s="6" t="n">
        <v>1219</v>
      </c>
      <c r="B5" s="6" t="s">
        <v>150</v>
      </c>
      <c r="C5" s="6" t="s">
        <v>151</v>
      </c>
      <c r="D5" s="6" t="s">
        <v>132</v>
      </c>
      <c r="E5" s="21" t="n">
        <v>6</v>
      </c>
      <c r="F5" s="6" t="s">
        <v>152</v>
      </c>
      <c r="G5" s="21" t="s">
        <v>153</v>
      </c>
      <c r="H5" s="22" t="n">
        <v>4096</v>
      </c>
      <c r="I5" s="21" t="n">
        <v>0</v>
      </c>
      <c r="J5" s="21" t="n">
        <v>0</v>
      </c>
      <c r="K5" s="6" t="n">
        <f aca="false">I5+J5</f>
        <v>0</v>
      </c>
      <c r="L5" s="27" t="n">
        <f aca="false">56.4/Settings!$B$3</f>
        <v>2.08888888888889</v>
      </c>
      <c r="M5" s="27" t="n">
        <f aca="false">57.5/Settings!$B$3</f>
        <v>2.12962962962963</v>
      </c>
      <c r="N5" s="27" t="n">
        <f aca="false">MAX(168,177)/Settings!$B$3</f>
        <v>6.55555555555556</v>
      </c>
      <c r="O5" s="10" t="n">
        <f aca="false">L5*Settings!$B$4</f>
        <v>501.333333333333</v>
      </c>
      <c r="P5" s="21" t="n">
        <v>21</v>
      </c>
      <c r="Q5" s="21" t="n">
        <v>4062</v>
      </c>
      <c r="R5" s="21" t="n">
        <v>13</v>
      </c>
      <c r="S5" s="21" t="n">
        <v>0</v>
      </c>
      <c r="T5" s="21" t="n">
        <v>0</v>
      </c>
      <c r="U5" s="21" t="n">
        <v>0</v>
      </c>
      <c r="V5" s="28" t="n">
        <f aca="false">SUM(R5:U5)/SUM(P5:U5)</f>
        <v>0.003173828125</v>
      </c>
      <c r="W5" s="28" t="n">
        <f aca="false">SUM(S5:U5)/SUM(P5:U5)</f>
        <v>0</v>
      </c>
      <c r="X5" s="22" t="n">
        <v>4113</v>
      </c>
      <c r="Y5" s="22" t="n">
        <v>1</v>
      </c>
      <c r="Z5" s="6" t="s">
        <v>154</v>
      </c>
    </row>
    <row r="6" customFormat="false" ht="15" hidden="false" customHeight="false" outlineLevel="0" collapsed="false">
      <c r="A6" s="6" t="n">
        <v>1219</v>
      </c>
      <c r="B6" s="6" t="s">
        <v>150</v>
      </c>
      <c r="C6" s="6" t="s">
        <v>151</v>
      </c>
      <c r="D6" s="6" t="s">
        <v>132</v>
      </c>
      <c r="E6" s="21" t="n">
        <v>6</v>
      </c>
      <c r="F6" s="6" t="s">
        <v>155</v>
      </c>
      <c r="G6" s="21" t="s">
        <v>156</v>
      </c>
      <c r="H6" s="22" t="n">
        <v>4090</v>
      </c>
      <c r="I6" s="21" t="n">
        <v>0</v>
      </c>
      <c r="J6" s="21" t="n">
        <v>3</v>
      </c>
      <c r="K6" s="6" t="n">
        <f aca="false">I6+J6</f>
        <v>3</v>
      </c>
      <c r="L6" s="27" t="n">
        <f aca="false">62.2/Settings!$B$3</f>
        <v>2.3037037037037</v>
      </c>
      <c r="M6" s="27" t="n">
        <f aca="false">62.2/Settings!$B$3</f>
        <v>2.3037037037037</v>
      </c>
      <c r="N6" s="27" t="n">
        <f aca="false">MAX(208,210)/Settings!$B$3</f>
        <v>7.77777777777778</v>
      </c>
      <c r="O6" s="10" t="n">
        <f aca="false">L6*Settings!$B$4</f>
        <v>552.888888888889</v>
      </c>
      <c r="P6" s="21" t="n">
        <v>200</v>
      </c>
      <c r="Q6" s="21" t="n">
        <v>3724</v>
      </c>
      <c r="R6" s="21" t="n">
        <v>166</v>
      </c>
      <c r="S6" s="21" t="n">
        <v>0</v>
      </c>
      <c r="T6" s="21" t="n">
        <v>0</v>
      </c>
      <c r="U6" s="21" t="n">
        <v>0</v>
      </c>
      <c r="V6" s="28" t="n">
        <f aca="false">SUM(R6:U6)/SUM(P6:U6)</f>
        <v>0.0405867970660147</v>
      </c>
      <c r="W6" s="28" t="n">
        <f aca="false">SUM(S6:U6)/SUM(P6:U6)</f>
        <v>0</v>
      </c>
      <c r="X6" s="22" t="n">
        <v>4110</v>
      </c>
      <c r="Y6" s="22" t="n">
        <v>148964</v>
      </c>
      <c r="Z6" s="6" t="s">
        <v>154</v>
      </c>
    </row>
    <row r="7" customFormat="false" ht="15" hidden="false" customHeight="false" outlineLevel="0" collapsed="false">
      <c r="A7" s="6" t="n">
        <v>1220</v>
      </c>
      <c r="B7" s="6" t="s">
        <v>157</v>
      </c>
      <c r="C7" s="6" t="s">
        <v>151</v>
      </c>
      <c r="D7" s="6" t="s">
        <v>126</v>
      </c>
      <c r="E7" s="21" t="n">
        <v>6</v>
      </c>
      <c r="F7" s="6" t="s">
        <v>152</v>
      </c>
      <c r="G7" s="21" t="s">
        <v>153</v>
      </c>
      <c r="H7" s="22" t="n">
        <v>4096</v>
      </c>
      <c r="I7" s="21" t="n">
        <v>0</v>
      </c>
      <c r="J7" s="21" t="n">
        <v>0</v>
      </c>
      <c r="K7" s="6" t="n">
        <f aca="false">I7+J7</f>
        <v>0</v>
      </c>
      <c r="L7" s="27" t="n">
        <f aca="false">51.4/Settings!$B$3</f>
        <v>1.9037037037037</v>
      </c>
      <c r="M7" s="27" t="n">
        <f aca="false">52.2/Settings!$B$3</f>
        <v>1.93333333333333</v>
      </c>
      <c r="N7" s="27" t="n">
        <f aca="false">MAX(110,111)/Settings!$B$3</f>
        <v>4.11111111111111</v>
      </c>
      <c r="O7" s="10" t="n">
        <f aca="false">L7*Settings!$B$4</f>
        <v>456.888888888889</v>
      </c>
      <c r="P7" s="21" t="n">
        <v>4005</v>
      </c>
      <c r="Q7" s="21" t="n">
        <v>91</v>
      </c>
      <c r="R7" s="21" t="n">
        <v>0</v>
      </c>
      <c r="S7" s="21" t="n">
        <v>0</v>
      </c>
      <c r="T7" s="21" t="n">
        <v>0</v>
      </c>
      <c r="U7" s="21" t="n">
        <v>0</v>
      </c>
      <c r="V7" s="28" t="n">
        <f aca="false">SUM(R7:U7)/SUM(P7:U7)</f>
        <v>0</v>
      </c>
      <c r="W7" s="28" t="n">
        <f aca="false">SUM(S7:U7)/SUM(P7:U7)</f>
        <v>0</v>
      </c>
      <c r="X7" s="22" t="n">
        <v>4113</v>
      </c>
      <c r="Y7" s="22" t="n">
        <v>1</v>
      </c>
      <c r="Z7" s="6" t="s">
        <v>158</v>
      </c>
    </row>
    <row r="8" customFormat="false" ht="15" hidden="false" customHeight="false" outlineLevel="0" collapsed="false">
      <c r="A8" s="6" t="n">
        <v>1220</v>
      </c>
      <c r="B8" s="6" t="s">
        <v>157</v>
      </c>
      <c r="C8" s="6" t="s">
        <v>151</v>
      </c>
      <c r="D8" s="6" t="s">
        <v>126</v>
      </c>
      <c r="E8" s="21" t="n">
        <v>6</v>
      </c>
      <c r="F8" s="6" t="s">
        <v>155</v>
      </c>
      <c r="G8" s="21" t="s">
        <v>153</v>
      </c>
      <c r="H8" s="22" t="n">
        <v>4096</v>
      </c>
      <c r="I8" s="21" t="n">
        <v>0</v>
      </c>
      <c r="J8" s="21" t="n">
        <v>0</v>
      </c>
      <c r="K8" s="6" t="n">
        <f aca="false">I8+J8</f>
        <v>0</v>
      </c>
      <c r="L8" s="27" t="n">
        <f aca="false">57.7/Settings!$B$3</f>
        <v>2.13703703703704</v>
      </c>
      <c r="M8" s="27" t="n">
        <f aca="false">57.5/Settings!$B$3</f>
        <v>2.12962962962963</v>
      </c>
      <c r="N8" s="27" t="n">
        <f aca="false">MAX(228,209)/Settings!$B$3</f>
        <v>8.44444444444445</v>
      </c>
      <c r="O8" s="10" t="n">
        <f aca="false">L8*Settings!$B$4</f>
        <v>512.888888888889</v>
      </c>
      <c r="P8" s="21" t="n">
        <v>3672</v>
      </c>
      <c r="Q8" s="21" t="n">
        <v>276</v>
      </c>
      <c r="R8" s="21" t="n">
        <v>148</v>
      </c>
      <c r="S8" s="21" t="n">
        <v>0</v>
      </c>
      <c r="T8" s="21" t="n">
        <v>0</v>
      </c>
      <c r="U8" s="21" t="n">
        <v>0</v>
      </c>
      <c r="V8" s="28" t="n">
        <f aca="false">SUM(R8:U8)/SUM(P8:U8)</f>
        <v>0.0361328125</v>
      </c>
      <c r="W8" s="28" t="n">
        <f aca="false">SUM(S8:U8)/SUM(P8:U8)</f>
        <v>0</v>
      </c>
      <c r="X8" s="22" t="n">
        <v>4113</v>
      </c>
      <c r="Y8" s="22" t="n">
        <v>147972</v>
      </c>
      <c r="Z8" s="6" t="s">
        <v>158</v>
      </c>
    </row>
    <row r="9" customFormat="false" ht="15" hidden="false" customHeight="false" outlineLevel="0" collapsed="false">
      <c r="A9" s="6" t="n">
        <v>1221</v>
      </c>
      <c r="B9" s="6" t="s">
        <v>159</v>
      </c>
      <c r="C9" s="6" t="s">
        <v>151</v>
      </c>
      <c r="D9" s="6" t="s">
        <v>126</v>
      </c>
      <c r="E9" s="21" t="n">
        <v>6</v>
      </c>
      <c r="F9" s="6" t="s">
        <v>152</v>
      </c>
      <c r="G9" s="21" t="s">
        <v>153</v>
      </c>
      <c r="H9" s="22" t="n">
        <v>4096</v>
      </c>
      <c r="I9" s="21" t="n">
        <v>0</v>
      </c>
      <c r="J9" s="21" t="n">
        <v>0</v>
      </c>
      <c r="K9" s="6" t="n">
        <f aca="false">I9+J9</f>
        <v>0</v>
      </c>
      <c r="L9" s="27" t="n">
        <f aca="false">51.2/Settings!$B$3</f>
        <v>1.8962962962963</v>
      </c>
      <c r="M9" s="27" t="n">
        <f aca="false">52.3/Settings!$B$3</f>
        <v>1.93703703703704</v>
      </c>
      <c r="N9" s="27" t="n">
        <f aca="false">MAX(110,111)/Settings!$B$3</f>
        <v>4.11111111111111</v>
      </c>
      <c r="O9" s="10" t="n">
        <f aca="false">L9*Settings!$B$4</f>
        <v>455.111111111111</v>
      </c>
      <c r="P9" s="21" t="n">
        <v>4026</v>
      </c>
      <c r="Q9" s="21" t="n">
        <v>70</v>
      </c>
      <c r="R9" s="21" t="n">
        <v>0</v>
      </c>
      <c r="S9" s="21" t="n">
        <v>0</v>
      </c>
      <c r="T9" s="21" t="n">
        <v>0</v>
      </c>
      <c r="U9" s="21" t="n">
        <v>0</v>
      </c>
      <c r="V9" s="28" t="n">
        <f aca="false">SUM(R9:U9)/SUM(P9:U9)</f>
        <v>0</v>
      </c>
      <c r="W9" s="28" t="n">
        <f aca="false">SUM(S9:U9)/SUM(P9:U9)</f>
        <v>0</v>
      </c>
      <c r="X9" s="22" t="n">
        <v>0</v>
      </c>
      <c r="Y9" s="22" t="n">
        <v>0</v>
      </c>
      <c r="Z9" s="6" t="s">
        <v>160</v>
      </c>
    </row>
    <row r="10" customFormat="false" ht="15" hidden="false" customHeight="false" outlineLevel="0" collapsed="false">
      <c r="A10" s="6" t="n">
        <v>1221</v>
      </c>
      <c r="B10" s="6" t="s">
        <v>159</v>
      </c>
      <c r="C10" s="6" t="s">
        <v>151</v>
      </c>
      <c r="D10" s="6" t="s">
        <v>126</v>
      </c>
      <c r="E10" s="21" t="n">
        <v>6</v>
      </c>
      <c r="F10" s="6" t="s">
        <v>155</v>
      </c>
      <c r="G10" s="21" t="s">
        <v>156</v>
      </c>
      <c r="H10" s="22" t="n">
        <v>4090</v>
      </c>
      <c r="I10" s="21" t="n">
        <v>1</v>
      </c>
      <c r="J10" s="21" t="n">
        <v>2</v>
      </c>
      <c r="K10" s="6" t="n">
        <f aca="false">I10+J10</f>
        <v>3</v>
      </c>
      <c r="L10" s="27" t="n">
        <f aca="false">59.2/Settings!$B$3</f>
        <v>2.19259259259259</v>
      </c>
      <c r="M10" s="27" t="n">
        <f aca="false">59.8/Settings!$B$3</f>
        <v>2.21481481481482</v>
      </c>
      <c r="N10" s="27" t="n">
        <f aca="false">MAX(248,208)/Settings!$B$3</f>
        <v>9.18518518518519</v>
      </c>
      <c r="O10" s="10" t="n">
        <f aca="false">L10*Settings!$B$4</f>
        <v>526.222222222222</v>
      </c>
      <c r="P10" s="21" t="n">
        <v>3572</v>
      </c>
      <c r="Q10" s="21" t="n">
        <v>317</v>
      </c>
      <c r="R10" s="21" t="n">
        <v>201</v>
      </c>
      <c r="S10" s="21" t="n">
        <v>0</v>
      </c>
      <c r="T10" s="21" t="n">
        <v>0</v>
      </c>
      <c r="U10" s="21" t="n">
        <v>0</v>
      </c>
      <c r="V10" s="28" t="n">
        <f aca="false">SUM(R10:U10)/SUM(P10:U10)</f>
        <v>0.0491442542787286</v>
      </c>
      <c r="W10" s="28" t="n">
        <f aca="false">SUM(S10:U10)/SUM(P10:U10)</f>
        <v>0</v>
      </c>
      <c r="X10" s="22" t="n">
        <v>4110</v>
      </c>
      <c r="Y10" s="22" t="n">
        <v>148401</v>
      </c>
      <c r="Z10" s="6" t="s">
        <v>160</v>
      </c>
    </row>
    <row r="11" customFormat="false" ht="15" hidden="false" customHeight="false" outlineLevel="0" collapsed="false">
      <c r="A11" s="6" t="n">
        <v>1222</v>
      </c>
      <c r="B11" s="6" t="s">
        <v>161</v>
      </c>
      <c r="C11" s="6" t="s">
        <v>151</v>
      </c>
      <c r="D11" s="6" t="s">
        <v>162</v>
      </c>
      <c r="E11" s="21" t="n">
        <v>20</v>
      </c>
      <c r="F11" s="6" t="s">
        <v>152</v>
      </c>
      <c r="G11" s="21" t="s">
        <v>153</v>
      </c>
      <c r="H11" s="22" t="n">
        <v>4096</v>
      </c>
      <c r="I11" s="21" t="n">
        <v>0</v>
      </c>
      <c r="J11" s="21" t="n">
        <v>0</v>
      </c>
      <c r="K11" s="6" t="n">
        <f aca="false">I11+J11</f>
        <v>0</v>
      </c>
      <c r="L11" s="27" t="n">
        <f aca="false">51.3/Settings!$B$3</f>
        <v>1.9</v>
      </c>
      <c r="M11" s="27" t="n">
        <f aca="false">52.5/Settings!$B$3</f>
        <v>1.94444444444444</v>
      </c>
      <c r="N11" s="27" t="n">
        <f aca="false">MAX(110,118)/Settings!$B$3</f>
        <v>4.37037037037037</v>
      </c>
      <c r="O11" s="10" t="n">
        <f aca="false">L11*Settings!$B$4</f>
        <v>456</v>
      </c>
      <c r="P11" s="21" t="n">
        <v>4005</v>
      </c>
      <c r="Q11" s="21" t="n">
        <v>91</v>
      </c>
      <c r="R11" s="21" t="n">
        <v>0</v>
      </c>
      <c r="S11" s="21" t="n">
        <v>0</v>
      </c>
      <c r="T11" s="21" t="n">
        <v>0</v>
      </c>
      <c r="U11" s="21" t="n">
        <v>0</v>
      </c>
      <c r="V11" s="28" t="n">
        <f aca="false">SUM(R11:U11)/SUM(P11:U11)</f>
        <v>0</v>
      </c>
      <c r="W11" s="28" t="n">
        <f aca="false">SUM(S11:U11)/SUM(P11:U11)</f>
        <v>0</v>
      </c>
      <c r="X11" s="22"/>
      <c r="Y11" s="22"/>
      <c r="Z11" s="6" t="s">
        <v>163</v>
      </c>
    </row>
    <row r="12" customFormat="false" ht="15" hidden="false" customHeight="false" outlineLevel="0" collapsed="false">
      <c r="A12" s="6" t="n">
        <v>1222</v>
      </c>
      <c r="B12" s="6" t="s">
        <v>161</v>
      </c>
      <c r="C12" s="6" t="s">
        <v>151</v>
      </c>
      <c r="D12" s="6" t="s">
        <v>162</v>
      </c>
      <c r="E12" s="21" t="n">
        <v>20</v>
      </c>
      <c r="F12" s="6" t="s">
        <v>155</v>
      </c>
      <c r="G12" s="21" t="s">
        <v>156</v>
      </c>
      <c r="H12" s="22" t="n">
        <v>4094</v>
      </c>
      <c r="I12" s="21" t="n">
        <v>0</v>
      </c>
      <c r="J12" s="21" t="n">
        <v>1</v>
      </c>
      <c r="K12" s="6" t="n">
        <f aca="false">I12+J12</f>
        <v>1</v>
      </c>
      <c r="L12" s="27" t="n">
        <f aca="false">137.9/Settings!$B$3</f>
        <v>5.10740740740741</v>
      </c>
      <c r="M12" s="27" t="n">
        <f aca="false">137.8/Settings!$B$3</f>
        <v>5.1037037037037</v>
      </c>
      <c r="N12" s="27" t="n">
        <f aca="false">MAX(609,597)/Settings!$B$3</f>
        <v>22.5555555555556</v>
      </c>
      <c r="O12" s="10" t="n">
        <f aca="false">L12*Settings!$B$4</f>
        <v>1225.77777777778</v>
      </c>
      <c r="P12" s="21" t="n">
        <v>2682</v>
      </c>
      <c r="Q12" s="21" t="n">
        <v>297</v>
      </c>
      <c r="R12" s="21" t="n">
        <v>332</v>
      </c>
      <c r="S12" s="21" t="n">
        <v>656</v>
      </c>
      <c r="T12" s="21" t="n">
        <v>127</v>
      </c>
      <c r="U12" s="21" t="n">
        <v>0</v>
      </c>
      <c r="V12" s="28" t="n">
        <f aca="false">SUM(R12:U12)/SUM(P12:U12)</f>
        <v>0.272349780166097</v>
      </c>
      <c r="W12" s="28" t="n">
        <f aca="false">SUM(S12:U12)/SUM(P12:U12)</f>
        <v>0.191255495847582</v>
      </c>
      <c r="X12" s="22"/>
      <c r="Y12" s="22"/>
      <c r="Z12" s="6" t="s">
        <v>163</v>
      </c>
    </row>
    <row r="13" customFormat="false" ht="15" hidden="false" customHeight="false" outlineLevel="0" collapsed="false">
      <c r="A13" s="6" t="n">
        <v>1223</v>
      </c>
      <c r="B13" s="6" t="s">
        <v>164</v>
      </c>
      <c r="C13" s="6" t="s">
        <v>151</v>
      </c>
      <c r="D13" s="6" t="s">
        <v>126</v>
      </c>
      <c r="E13" s="21" t="n">
        <v>20</v>
      </c>
      <c r="F13" s="6" t="s">
        <v>152</v>
      </c>
      <c r="G13" s="21" t="s">
        <v>153</v>
      </c>
      <c r="H13" s="22" t="n">
        <v>4096</v>
      </c>
      <c r="I13" s="21" t="n">
        <v>0</v>
      </c>
      <c r="J13" s="21" t="n">
        <v>0</v>
      </c>
      <c r="K13" s="6" t="n">
        <f aca="false">I13+J13</f>
        <v>0</v>
      </c>
      <c r="L13" s="27" t="n">
        <f aca="false">51.3/Settings!$B$3</f>
        <v>1.9</v>
      </c>
      <c r="M13" s="27" t="n">
        <f aca="false">52.3/Settings!$B$3</f>
        <v>1.93703703703704</v>
      </c>
      <c r="N13" s="27" t="n">
        <f aca="false">MAX(110,111)/Settings!$B$3</f>
        <v>4.11111111111111</v>
      </c>
      <c r="O13" s="10" t="n">
        <f aca="false">L13*Settings!$B$4</f>
        <v>456</v>
      </c>
      <c r="P13" s="21" t="n">
        <v>4008</v>
      </c>
      <c r="Q13" s="21" t="n">
        <v>88</v>
      </c>
      <c r="R13" s="21" t="n">
        <v>0</v>
      </c>
      <c r="S13" s="21" t="n">
        <v>0</v>
      </c>
      <c r="T13" s="21" t="n">
        <v>0</v>
      </c>
      <c r="U13" s="21" t="n">
        <v>0</v>
      </c>
      <c r="V13" s="28" t="n">
        <f aca="false">SUM(R13:U13)/SUM(P13:U13)</f>
        <v>0</v>
      </c>
      <c r="W13" s="28" t="n">
        <f aca="false">SUM(S13:U13)/SUM(P13:U13)</f>
        <v>0</v>
      </c>
      <c r="X13" s="22" t="n">
        <v>4113</v>
      </c>
      <c r="Y13" s="22" t="n">
        <v>1</v>
      </c>
      <c r="Z13" s="6" t="s">
        <v>165</v>
      </c>
    </row>
    <row r="14" customFormat="false" ht="15" hidden="false" customHeight="false" outlineLevel="0" collapsed="false">
      <c r="A14" s="6" t="n">
        <v>1223</v>
      </c>
      <c r="B14" s="6" t="s">
        <v>164</v>
      </c>
      <c r="C14" s="6" t="s">
        <v>151</v>
      </c>
      <c r="D14" s="6" t="s">
        <v>126</v>
      </c>
      <c r="E14" s="21" t="n">
        <v>20</v>
      </c>
      <c r="F14" s="6" t="s">
        <v>155</v>
      </c>
      <c r="G14" s="21" t="s">
        <v>156</v>
      </c>
      <c r="H14" s="22" t="n">
        <v>4094</v>
      </c>
      <c r="I14" s="21" t="n">
        <v>1</v>
      </c>
      <c r="J14" s="21" t="n">
        <v>0</v>
      </c>
      <c r="K14" s="6" t="n">
        <f aca="false">I14+J14</f>
        <v>1</v>
      </c>
      <c r="L14" s="27" t="n">
        <f aca="false">136.8/Settings!$B$3</f>
        <v>5.06666666666667</v>
      </c>
      <c r="M14" s="27" t="n">
        <f aca="false">134.1/Settings!$B$3</f>
        <v>4.96666666666667</v>
      </c>
      <c r="N14" s="27" t="n">
        <f aca="false">MAX(594,597)/Settings!$B$3</f>
        <v>22.1111111111111</v>
      </c>
      <c r="O14" s="10" t="n">
        <f aca="false">L14*Settings!$B$4</f>
        <v>1216</v>
      </c>
      <c r="P14" s="21" t="n">
        <v>2739</v>
      </c>
      <c r="Q14" s="21" t="n">
        <v>260</v>
      </c>
      <c r="R14" s="21" t="n">
        <v>334</v>
      </c>
      <c r="S14" s="21" t="n">
        <v>649</v>
      </c>
      <c r="T14" s="21" t="n">
        <v>112</v>
      </c>
      <c r="U14" s="21" t="n">
        <v>0</v>
      </c>
      <c r="V14" s="28" t="n">
        <f aca="false">SUM(R14:U14)/SUM(P14:U14)</f>
        <v>0.267464582315584</v>
      </c>
      <c r="W14" s="28" t="n">
        <f aca="false">SUM(S14:U14)/SUM(P14:U14)</f>
        <v>0.185881778212018</v>
      </c>
      <c r="X14" s="22" t="n">
        <v>4112</v>
      </c>
      <c r="Y14" s="22" t="n">
        <v>148776</v>
      </c>
      <c r="Z14" s="6" t="s">
        <v>165</v>
      </c>
    </row>
    <row r="15" customFormat="false" ht="15" hidden="false" customHeight="false" outlineLevel="0" collapsed="false">
      <c r="A15" s="6" t="n">
        <v>1226</v>
      </c>
      <c r="B15" s="6" t="s">
        <v>166</v>
      </c>
      <c r="C15" s="6" t="s">
        <v>167</v>
      </c>
      <c r="D15" s="6" t="s">
        <v>126</v>
      </c>
      <c r="E15" s="21" t="n">
        <v>6</v>
      </c>
      <c r="F15" s="6" t="s">
        <v>152</v>
      </c>
      <c r="G15" s="21" t="s">
        <v>153</v>
      </c>
      <c r="H15" s="22" t="n">
        <v>4096</v>
      </c>
      <c r="I15" s="21" t="n">
        <v>0</v>
      </c>
      <c r="J15" s="21" t="n">
        <v>0</v>
      </c>
      <c r="K15" s="6" t="n">
        <f aca="false">I15+J15</f>
        <v>0</v>
      </c>
      <c r="L15" s="27" t="n">
        <f aca="false">51.6/Settings!$B$3</f>
        <v>1.91111111111111</v>
      </c>
      <c r="M15" s="27" t="n">
        <f aca="false">51.6/Settings!$B$3</f>
        <v>1.91111111111111</v>
      </c>
      <c r="N15" s="27" t="n">
        <f aca="false">MAX(110,110)/Settings!$B$3</f>
        <v>4.07407407407407</v>
      </c>
      <c r="O15" s="10" t="n">
        <f aca="false">L15*Settings!$B$4</f>
        <v>458.666666666667</v>
      </c>
      <c r="P15" s="21" t="n">
        <v>3984</v>
      </c>
      <c r="Q15" s="21" t="n">
        <v>112</v>
      </c>
      <c r="R15" s="21" t="n">
        <v>0</v>
      </c>
      <c r="S15" s="21" t="n">
        <v>0</v>
      </c>
      <c r="T15" s="21" t="n">
        <v>0</v>
      </c>
      <c r="U15" s="21" t="n">
        <v>0</v>
      </c>
      <c r="V15" s="28" t="n">
        <f aca="false">SUM(R15:U15)/SUM(P15:U15)</f>
        <v>0</v>
      </c>
      <c r="W15" s="28" t="n">
        <f aca="false">SUM(S15:U15)/SUM(P15:U15)</f>
        <v>0</v>
      </c>
      <c r="X15" s="22" t="n">
        <v>4113</v>
      </c>
      <c r="Y15" s="22" t="n">
        <v>1</v>
      </c>
      <c r="Z15" s="6" t="s">
        <v>168</v>
      </c>
    </row>
    <row r="16" customFormat="false" ht="15" hidden="false" customHeight="false" outlineLevel="0" collapsed="false">
      <c r="A16" s="6" t="n">
        <v>1226</v>
      </c>
      <c r="B16" s="6" t="s">
        <v>166</v>
      </c>
      <c r="C16" s="6" t="s">
        <v>167</v>
      </c>
      <c r="D16" s="6" t="s">
        <v>126</v>
      </c>
      <c r="E16" s="21" t="n">
        <v>6</v>
      </c>
      <c r="F16" s="6" t="s">
        <v>155</v>
      </c>
      <c r="G16" s="21" t="s">
        <v>156</v>
      </c>
      <c r="H16" s="22" t="n">
        <v>4094</v>
      </c>
      <c r="I16" s="21" t="n">
        <v>1</v>
      </c>
      <c r="J16" s="21" t="n">
        <v>0</v>
      </c>
      <c r="K16" s="6" t="n">
        <f aca="false">I16+J16</f>
        <v>1</v>
      </c>
      <c r="L16" s="27" t="n">
        <f aca="false">57.9/Settings!$B$3</f>
        <v>2.14444444444444</v>
      </c>
      <c r="M16" s="27" t="n">
        <f aca="false">58.3/Settings!$B$3</f>
        <v>2.15925925925926</v>
      </c>
      <c r="N16" s="27" t="n">
        <f aca="false">MAX(213,209)/Settings!$B$3</f>
        <v>7.88888888888889</v>
      </c>
      <c r="O16" s="10" t="n">
        <f aca="false">L16*Settings!$B$4</f>
        <v>514.666666666667</v>
      </c>
      <c r="P16" s="21" t="n">
        <v>3597</v>
      </c>
      <c r="Q16" s="21" t="n">
        <v>324</v>
      </c>
      <c r="R16" s="21" t="n">
        <v>173</v>
      </c>
      <c r="S16" s="21" t="n">
        <v>0</v>
      </c>
      <c r="T16" s="21" t="n">
        <v>0</v>
      </c>
      <c r="U16" s="21" t="n">
        <v>0</v>
      </c>
      <c r="V16" s="28" t="n">
        <f aca="false">SUM(R16:U16)/SUM(P16:U16)</f>
        <v>0.042256961406937</v>
      </c>
      <c r="W16" s="28" t="n">
        <f aca="false">SUM(S16:U16)/SUM(P16:U16)</f>
        <v>0</v>
      </c>
      <c r="X16" s="22" t="n">
        <v>4113</v>
      </c>
      <c r="Y16" s="22" t="n">
        <v>149787</v>
      </c>
      <c r="Z16" s="6" t="s">
        <v>168</v>
      </c>
    </row>
    <row r="17" customFormat="false" ht="15" hidden="false" customHeight="false" outlineLevel="0" collapsed="false">
      <c r="A17" s="6" t="n">
        <v>1227</v>
      </c>
      <c r="B17" s="6" t="s">
        <v>169</v>
      </c>
      <c r="C17" s="6" t="s">
        <v>167</v>
      </c>
      <c r="D17" s="6" t="s">
        <v>126</v>
      </c>
      <c r="E17" s="21" t="n">
        <v>6</v>
      </c>
      <c r="F17" s="6" t="s">
        <v>152</v>
      </c>
      <c r="G17" s="21" t="s">
        <v>153</v>
      </c>
      <c r="H17" s="22" t="n">
        <v>4096</v>
      </c>
      <c r="I17" s="21" t="n">
        <v>0</v>
      </c>
      <c r="J17" s="21" t="n">
        <v>0</v>
      </c>
      <c r="K17" s="6" t="n">
        <f aca="false">I17+J17</f>
        <v>0</v>
      </c>
      <c r="L17" s="27" t="n">
        <f aca="false">51.6/Settings!$B$3</f>
        <v>1.91111111111111</v>
      </c>
      <c r="M17" s="27" t="n">
        <f aca="false">51.5/Settings!$B$3</f>
        <v>1.90740740740741</v>
      </c>
      <c r="N17" s="27" t="n">
        <f aca="false">MAX(110,94)/Settings!$B$3</f>
        <v>4.07407407407407</v>
      </c>
      <c r="O17" s="10" t="n">
        <f aca="false">L17*Settings!$B$4</f>
        <v>458.666666666667</v>
      </c>
      <c r="P17" s="21" t="n">
        <v>3972</v>
      </c>
      <c r="Q17" s="21" t="n">
        <v>124</v>
      </c>
      <c r="R17" s="21" t="n">
        <v>0</v>
      </c>
      <c r="S17" s="21" t="n">
        <v>0</v>
      </c>
      <c r="T17" s="21" t="n">
        <v>0</v>
      </c>
      <c r="U17" s="21" t="n">
        <v>0</v>
      </c>
      <c r="V17" s="28" t="n">
        <f aca="false">SUM(R17:U17)/SUM(P17:U17)</f>
        <v>0</v>
      </c>
      <c r="W17" s="28" t="n">
        <f aca="false">SUM(S17:U17)/SUM(P17:U17)</f>
        <v>0</v>
      </c>
      <c r="X17" s="22" t="n">
        <v>4113</v>
      </c>
      <c r="Y17" s="22" t="n">
        <v>1</v>
      </c>
      <c r="Z17" s="6" t="s">
        <v>170</v>
      </c>
    </row>
    <row r="18" customFormat="false" ht="15" hidden="false" customHeight="false" outlineLevel="0" collapsed="false">
      <c r="A18" s="6" t="n">
        <v>1227</v>
      </c>
      <c r="B18" s="6" t="s">
        <v>169</v>
      </c>
      <c r="C18" s="6" t="s">
        <v>167</v>
      </c>
      <c r="D18" s="6" t="s">
        <v>126</v>
      </c>
      <c r="E18" s="21" t="n">
        <v>6</v>
      </c>
      <c r="F18" s="6" t="s">
        <v>155</v>
      </c>
      <c r="G18" s="21" t="s">
        <v>153</v>
      </c>
      <c r="H18" s="22" t="n">
        <v>4096</v>
      </c>
      <c r="I18" s="21" t="n">
        <v>0</v>
      </c>
      <c r="J18" s="21" t="n">
        <v>0</v>
      </c>
      <c r="K18" s="6" t="n">
        <f aca="false">I18+J18</f>
        <v>0</v>
      </c>
      <c r="L18" s="27" t="n">
        <f aca="false">58.2/Settings!$B$3</f>
        <v>2.15555555555556</v>
      </c>
      <c r="M18" s="27" t="n">
        <f aca="false">58.9/Settings!$B$3</f>
        <v>2.18148148148148</v>
      </c>
      <c r="N18" s="27" t="n">
        <f aca="false">MAX(248,263)/Settings!$B$3</f>
        <v>9.74074074074074</v>
      </c>
      <c r="O18" s="10" t="n">
        <f aca="false">L18*Settings!$B$4</f>
        <v>517.333333333333</v>
      </c>
      <c r="P18" s="21" t="n">
        <v>3592</v>
      </c>
      <c r="Q18" s="21" t="n">
        <v>323</v>
      </c>
      <c r="R18" s="21" t="n">
        <v>181</v>
      </c>
      <c r="S18" s="21" t="n">
        <v>0</v>
      </c>
      <c r="T18" s="21" t="n">
        <v>0</v>
      </c>
      <c r="U18" s="21" t="n">
        <v>0</v>
      </c>
      <c r="V18" s="28" t="n">
        <f aca="false">SUM(R18:U18)/SUM(P18:U18)</f>
        <v>0.044189453125</v>
      </c>
      <c r="W18" s="28" t="n">
        <f aca="false">SUM(S18:U18)/SUM(P18:U18)</f>
        <v>0</v>
      </c>
      <c r="X18" s="22" t="n">
        <v>4113</v>
      </c>
      <c r="Y18" s="22" t="n">
        <v>149279</v>
      </c>
      <c r="Z18" s="6" t="s">
        <v>170</v>
      </c>
    </row>
    <row r="19" customFormat="false" ht="15" hidden="false" customHeight="false" outlineLevel="0" collapsed="false">
      <c r="A19" s="6" t="n">
        <v>1228</v>
      </c>
      <c r="B19" s="6" t="s">
        <v>171</v>
      </c>
      <c r="C19" s="6" t="s">
        <v>167</v>
      </c>
      <c r="D19" s="6" t="s">
        <v>126</v>
      </c>
      <c r="E19" s="21" t="n">
        <v>6</v>
      </c>
      <c r="F19" s="6" t="s">
        <v>152</v>
      </c>
      <c r="G19" s="21" t="s">
        <v>153</v>
      </c>
      <c r="H19" s="22" t="n">
        <v>4096</v>
      </c>
      <c r="I19" s="21" t="n">
        <v>0</v>
      </c>
      <c r="J19" s="21" t="n">
        <v>0</v>
      </c>
      <c r="K19" s="6" t="n">
        <f aca="false">I19+J19</f>
        <v>0</v>
      </c>
      <c r="L19" s="27" t="n">
        <f aca="false">51.5/Settings!$B$3</f>
        <v>1.90740740740741</v>
      </c>
      <c r="M19" s="27" t="n">
        <f aca="false">51.6/Settings!$B$3</f>
        <v>1.91111111111111</v>
      </c>
      <c r="N19" s="27" t="n">
        <f aca="false">MAX(110,167)/Settings!$B$3</f>
        <v>6.18518518518519</v>
      </c>
      <c r="O19" s="10" t="n">
        <f aca="false">L19*Settings!$B$4</f>
        <v>457.777777777778</v>
      </c>
      <c r="P19" s="21" t="n">
        <v>3978</v>
      </c>
      <c r="Q19" s="21" t="n">
        <v>117</v>
      </c>
      <c r="R19" s="21" t="n">
        <v>1</v>
      </c>
      <c r="S19" s="21" t="n">
        <v>0</v>
      </c>
      <c r="T19" s="21" t="n">
        <v>0</v>
      </c>
      <c r="U19" s="21" t="n">
        <v>0</v>
      </c>
      <c r="V19" s="28" t="n">
        <f aca="false">SUM(R19:U19)/SUM(P19:U19)</f>
        <v>0.000244140625</v>
      </c>
      <c r="W19" s="28" t="n">
        <f aca="false">SUM(S19:U19)/SUM(P19:U19)</f>
        <v>0</v>
      </c>
      <c r="X19" s="22" t="n">
        <v>4113</v>
      </c>
      <c r="Y19" s="22" t="n">
        <v>1</v>
      </c>
      <c r="Z19" s="6" t="s">
        <v>172</v>
      </c>
    </row>
    <row r="20" customFormat="false" ht="15" hidden="false" customHeight="false" outlineLevel="0" collapsed="false">
      <c r="A20" s="6" t="n">
        <v>1228</v>
      </c>
      <c r="B20" s="6" t="s">
        <v>171</v>
      </c>
      <c r="C20" s="6" t="s">
        <v>167</v>
      </c>
      <c r="D20" s="6" t="s">
        <v>126</v>
      </c>
      <c r="E20" s="21" t="n">
        <v>6</v>
      </c>
      <c r="F20" s="6" t="s">
        <v>155</v>
      </c>
      <c r="G20" s="21" t="s">
        <v>153</v>
      </c>
      <c r="H20" s="22" t="n">
        <v>4096</v>
      </c>
      <c r="I20" s="21" t="n">
        <v>0</v>
      </c>
      <c r="J20" s="21" t="n">
        <v>0</v>
      </c>
      <c r="K20" s="6" t="n">
        <f aca="false">I20+J20</f>
        <v>0</v>
      </c>
      <c r="L20" s="27" t="n">
        <f aca="false">58.5/Settings!$B$3</f>
        <v>2.16666666666667</v>
      </c>
      <c r="M20" s="27" t="n">
        <f aca="false">58.4/Settings!$B$3</f>
        <v>2.16296296296296</v>
      </c>
      <c r="N20" s="27" t="n">
        <f aca="false">MAX(208,216)/Settings!$B$3</f>
        <v>8</v>
      </c>
      <c r="O20" s="10" t="n">
        <f aca="false">L20*Settings!$B$4</f>
        <v>520</v>
      </c>
      <c r="P20" s="21" t="n">
        <v>3579</v>
      </c>
      <c r="Q20" s="21" t="n">
        <v>330</v>
      </c>
      <c r="R20" s="21" t="n">
        <v>187</v>
      </c>
      <c r="S20" s="21" t="n">
        <v>0</v>
      </c>
      <c r="T20" s="21" t="n">
        <v>0</v>
      </c>
      <c r="U20" s="21" t="n">
        <v>0</v>
      </c>
      <c r="V20" s="28" t="n">
        <f aca="false">SUM(R20:U20)/SUM(P20:U20)</f>
        <v>0.045654296875</v>
      </c>
      <c r="W20" s="28" t="n">
        <f aca="false">SUM(S20:U20)/SUM(P20:U20)</f>
        <v>0</v>
      </c>
      <c r="X20" s="22" t="n">
        <v>4113</v>
      </c>
      <c r="Y20" s="22" t="n">
        <v>149419</v>
      </c>
      <c r="Z20" s="6" t="s">
        <v>172</v>
      </c>
    </row>
    <row r="21" customFormat="false" ht="15" hidden="false" customHeight="false" outlineLevel="0" collapsed="false">
      <c r="A21" s="6" t="n">
        <v>1229</v>
      </c>
      <c r="B21" s="6" t="s">
        <v>173</v>
      </c>
      <c r="C21" s="6" t="s">
        <v>167</v>
      </c>
      <c r="D21" s="6" t="s">
        <v>126</v>
      </c>
      <c r="E21" s="21" t="n">
        <v>20</v>
      </c>
      <c r="F21" s="6" t="s">
        <v>152</v>
      </c>
      <c r="G21" s="21" t="s">
        <v>153</v>
      </c>
      <c r="H21" s="22" t="n">
        <v>4096</v>
      </c>
      <c r="I21" s="21" t="n">
        <v>0</v>
      </c>
      <c r="J21" s="21" t="n">
        <v>0</v>
      </c>
      <c r="K21" s="6" t="n">
        <f aca="false">I21+J21</f>
        <v>0</v>
      </c>
      <c r="L21" s="27" t="n">
        <f aca="false">51.7/Settings!$B$3</f>
        <v>1.91481481481482</v>
      </c>
      <c r="M21" s="27" t="n">
        <f aca="false">51.5/Settings!$B$3</f>
        <v>1.90740740740741</v>
      </c>
      <c r="N21" s="27" t="n">
        <f aca="false">MAX(110,110)/Settings!$B$3</f>
        <v>4.07407407407407</v>
      </c>
      <c r="O21" s="10" t="n">
        <f aca="false">L21*Settings!$B$4</f>
        <v>459.555555555556</v>
      </c>
      <c r="P21" s="21" t="n">
        <v>3979</v>
      </c>
      <c r="Q21" s="21" t="n">
        <v>117</v>
      </c>
      <c r="R21" s="21" t="n">
        <v>0</v>
      </c>
      <c r="S21" s="21" t="n">
        <v>0</v>
      </c>
      <c r="T21" s="21" t="n">
        <v>0</v>
      </c>
      <c r="U21" s="21" t="n">
        <v>0</v>
      </c>
      <c r="V21" s="28" t="n">
        <f aca="false">SUM(R21:U21)/SUM(P21:U21)</f>
        <v>0</v>
      </c>
      <c r="W21" s="28" t="n">
        <f aca="false">SUM(S21:U21)/SUM(P21:U21)</f>
        <v>0</v>
      </c>
      <c r="X21" s="22" t="n">
        <v>4098</v>
      </c>
      <c r="Y21" s="22" t="n">
        <v>0</v>
      </c>
      <c r="Z21" s="6" t="s">
        <v>174</v>
      </c>
    </row>
    <row r="22" customFormat="false" ht="15" hidden="false" customHeight="false" outlineLevel="0" collapsed="false">
      <c r="A22" s="6" t="n">
        <v>1229</v>
      </c>
      <c r="B22" s="6" t="s">
        <v>173</v>
      </c>
      <c r="C22" s="6" t="s">
        <v>167</v>
      </c>
      <c r="D22" s="6" t="s">
        <v>126</v>
      </c>
      <c r="E22" s="21" t="n">
        <v>20</v>
      </c>
      <c r="F22" s="6" t="s">
        <v>155</v>
      </c>
      <c r="G22" s="21" t="s">
        <v>156</v>
      </c>
      <c r="H22" s="22" t="n">
        <v>4094</v>
      </c>
      <c r="I22" s="21" t="n">
        <v>1</v>
      </c>
      <c r="J22" s="21" t="n">
        <v>0</v>
      </c>
      <c r="K22" s="6" t="n">
        <f aca="false">I22+J22</f>
        <v>1</v>
      </c>
      <c r="L22" s="27" t="n">
        <f aca="false">135.3/Settings!$B$3</f>
        <v>5.01111111111111</v>
      </c>
      <c r="M22" s="27" t="n">
        <f aca="false">134.1/Settings!$B$3</f>
        <v>4.96666666666667</v>
      </c>
      <c r="N22" s="27" t="n">
        <f aca="false">MAX(636,604)/Settings!$B$3</f>
        <v>23.5555555555556</v>
      </c>
      <c r="O22" s="10" t="n">
        <f aca="false">L22*Settings!$B$4</f>
        <v>1202.66666666667</v>
      </c>
      <c r="P22" s="21" t="n">
        <v>2724</v>
      </c>
      <c r="Q22" s="21" t="n">
        <v>306</v>
      </c>
      <c r="R22" s="21" t="n">
        <v>305</v>
      </c>
      <c r="S22" s="21" t="n">
        <v>644</v>
      </c>
      <c r="T22" s="21" t="n">
        <v>115</v>
      </c>
      <c r="U22" s="21" t="n">
        <v>0</v>
      </c>
      <c r="V22" s="28" t="n">
        <f aca="false">SUM(R22:U22)/SUM(P22:U22)</f>
        <v>0.259892525647289</v>
      </c>
      <c r="W22" s="28" t="n">
        <f aca="false">SUM(S22:U22)/SUM(P22:U22)</f>
        <v>0.185393258426966</v>
      </c>
      <c r="X22" s="22" t="n">
        <v>4112</v>
      </c>
      <c r="Y22" s="22" t="n">
        <v>149303</v>
      </c>
      <c r="Z22" s="6" t="s">
        <v>174</v>
      </c>
    </row>
    <row r="23" customFormat="false" ht="15" hidden="false" customHeight="false" outlineLevel="0" collapsed="false">
      <c r="A23" s="6" t="n">
        <v>1230</v>
      </c>
      <c r="B23" s="6" t="s">
        <v>175</v>
      </c>
      <c r="C23" s="6" t="s">
        <v>167</v>
      </c>
      <c r="D23" s="6" t="s">
        <v>126</v>
      </c>
      <c r="E23" s="21" t="n">
        <v>20</v>
      </c>
      <c r="F23" s="6" t="s">
        <v>152</v>
      </c>
      <c r="G23" s="21" t="s">
        <v>153</v>
      </c>
      <c r="H23" s="22" t="n">
        <v>4096</v>
      </c>
      <c r="I23" s="21" t="n">
        <v>0</v>
      </c>
      <c r="J23" s="21" t="n">
        <v>0</v>
      </c>
      <c r="K23" s="6" t="n">
        <f aca="false">I23+J23</f>
        <v>0</v>
      </c>
      <c r="L23" s="27" t="n">
        <f aca="false">51.5/Settings!$B$3</f>
        <v>1.90740740740741</v>
      </c>
      <c r="M23" s="27" t="n">
        <f aca="false">51.6/Settings!$B$3</f>
        <v>1.91111111111111</v>
      </c>
      <c r="N23" s="27" t="n">
        <f aca="false">MAX(113,110)/Settings!$B$3</f>
        <v>4.18518518518519</v>
      </c>
      <c r="O23" s="10" t="n">
        <f aca="false">L23*Settings!$B$4</f>
        <v>457.777777777778</v>
      </c>
      <c r="P23" s="21" t="n">
        <v>4002</v>
      </c>
      <c r="Q23" s="21" t="n">
        <v>94</v>
      </c>
      <c r="R23" s="21" t="n">
        <v>0</v>
      </c>
      <c r="S23" s="21" t="n">
        <v>0</v>
      </c>
      <c r="T23" s="21" t="n">
        <v>0</v>
      </c>
      <c r="U23" s="21" t="n">
        <v>0</v>
      </c>
      <c r="V23" s="28" t="n">
        <f aca="false">SUM(R23:U23)/SUM(P23:U23)</f>
        <v>0</v>
      </c>
      <c r="W23" s="28" t="n">
        <f aca="false">SUM(S23:U23)/SUM(P23:U23)</f>
        <v>0</v>
      </c>
      <c r="X23" s="22" t="n">
        <v>4113</v>
      </c>
      <c r="Y23" s="22" t="n">
        <v>1</v>
      </c>
      <c r="Z23" s="6" t="s">
        <v>176</v>
      </c>
    </row>
    <row r="24" customFormat="false" ht="15" hidden="false" customHeight="false" outlineLevel="0" collapsed="false">
      <c r="A24" s="6" t="n">
        <v>1230</v>
      </c>
      <c r="B24" s="6" t="s">
        <v>175</v>
      </c>
      <c r="C24" s="6" t="s">
        <v>167</v>
      </c>
      <c r="D24" s="6" t="s">
        <v>126</v>
      </c>
      <c r="E24" s="21" t="n">
        <v>20</v>
      </c>
      <c r="F24" s="6" t="s">
        <v>155</v>
      </c>
      <c r="G24" s="21" t="s">
        <v>156</v>
      </c>
      <c r="H24" s="22" t="n">
        <v>4092</v>
      </c>
      <c r="I24" s="21" t="n">
        <v>1</v>
      </c>
      <c r="J24" s="21" t="n">
        <v>1</v>
      </c>
      <c r="K24" s="6" t="n">
        <f aca="false">I24+J24</f>
        <v>2</v>
      </c>
      <c r="L24" s="27" t="n">
        <f aca="false">134.4/Settings!$B$3</f>
        <v>4.97777777777778</v>
      </c>
      <c r="M24" s="27" t="n">
        <f aca="false">133/Settings!$B$3</f>
        <v>4.92592592592593</v>
      </c>
      <c r="N24" s="27" t="n">
        <f aca="false">MAX(644,613)/Settings!$B$3</f>
        <v>23.8518518518519</v>
      </c>
      <c r="O24" s="10" t="n">
        <f aca="false">L24*Settings!$B$4</f>
        <v>1194.66666666667</v>
      </c>
      <c r="P24" s="21" t="n">
        <v>2728</v>
      </c>
      <c r="Q24" s="21" t="n">
        <v>304</v>
      </c>
      <c r="R24" s="21" t="n">
        <v>308</v>
      </c>
      <c r="S24" s="21" t="n">
        <v>646</v>
      </c>
      <c r="T24" s="21" t="n">
        <v>106</v>
      </c>
      <c r="U24" s="21" t="n">
        <v>0</v>
      </c>
      <c r="V24" s="28" t="n">
        <f aca="false">SUM(R24:U24)/SUM(P24:U24)</f>
        <v>0.259042033235582</v>
      </c>
      <c r="W24" s="28" t="n">
        <f aca="false">SUM(S24:U24)/SUM(P24:U24)</f>
        <v>0.183773216031281</v>
      </c>
      <c r="X24" s="22" t="n">
        <v>4112</v>
      </c>
      <c r="Y24" s="22" t="n">
        <v>149622</v>
      </c>
      <c r="Z24" s="6" t="s">
        <v>176</v>
      </c>
    </row>
    <row r="25" customFormat="false" ht="15" hidden="false" customHeight="false" outlineLevel="0" collapsed="false">
      <c r="A25" s="6" t="n">
        <v>1231</v>
      </c>
      <c r="B25" s="6" t="s">
        <v>177</v>
      </c>
      <c r="C25" s="6" t="s">
        <v>167</v>
      </c>
      <c r="D25" s="6" t="s">
        <v>132</v>
      </c>
      <c r="E25" s="21" t="n">
        <v>20</v>
      </c>
      <c r="F25" s="6" t="s">
        <v>152</v>
      </c>
      <c r="G25" s="21" t="s">
        <v>153</v>
      </c>
      <c r="H25" s="22" t="n">
        <v>4096</v>
      </c>
      <c r="I25" s="21" t="n">
        <v>0</v>
      </c>
      <c r="J25" s="21" t="n">
        <v>0</v>
      </c>
      <c r="K25" s="6" t="n">
        <f aca="false">I25+J25</f>
        <v>0</v>
      </c>
      <c r="L25" s="27" t="n">
        <f aca="false">57/Settings!$B$3</f>
        <v>2.11111111111111</v>
      </c>
      <c r="M25" s="27" t="n">
        <f aca="false">57/Settings!$B$3</f>
        <v>2.11111111111111</v>
      </c>
      <c r="N25" s="27" t="n">
        <f aca="false">MAX(149,160)/Settings!$B$3</f>
        <v>5.92592592592593</v>
      </c>
      <c r="O25" s="10" t="n">
        <f aca="false">L25*Settings!$B$4</f>
        <v>506.666666666667</v>
      </c>
      <c r="P25" s="21" t="n">
        <v>9</v>
      </c>
      <c r="Q25" s="21" t="n">
        <v>4074</v>
      </c>
      <c r="R25" s="21" t="n">
        <v>13</v>
      </c>
      <c r="S25" s="21" t="n">
        <v>0</v>
      </c>
      <c r="T25" s="21" t="n">
        <v>0</v>
      </c>
      <c r="U25" s="21" t="n">
        <v>0</v>
      </c>
      <c r="V25" s="28" t="n">
        <f aca="false">SUM(R25:U25)/SUM(P25:U25)</f>
        <v>0.003173828125</v>
      </c>
      <c r="W25" s="28" t="n">
        <f aca="false">SUM(S25:U25)/SUM(P25:U25)</f>
        <v>0</v>
      </c>
      <c r="X25" s="22" t="n">
        <v>4113</v>
      </c>
      <c r="Y25" s="22" t="n">
        <v>1</v>
      </c>
      <c r="Z25" s="6" t="s">
        <v>178</v>
      </c>
    </row>
    <row r="26" customFormat="false" ht="15" hidden="false" customHeight="false" outlineLevel="0" collapsed="false">
      <c r="A26" s="6" t="n">
        <v>1231</v>
      </c>
      <c r="B26" s="6" t="s">
        <v>177</v>
      </c>
      <c r="C26" s="6" t="s">
        <v>167</v>
      </c>
      <c r="D26" s="6" t="s">
        <v>132</v>
      </c>
      <c r="E26" s="21" t="n">
        <v>20</v>
      </c>
      <c r="F26" s="6" t="s">
        <v>155</v>
      </c>
      <c r="G26" s="21" t="s">
        <v>153</v>
      </c>
      <c r="H26" s="22" t="n">
        <v>4096</v>
      </c>
      <c r="I26" s="21" t="n">
        <v>0</v>
      </c>
      <c r="J26" s="21" t="n">
        <v>0</v>
      </c>
      <c r="K26" s="6" t="n">
        <f aca="false">I26+J26</f>
        <v>0</v>
      </c>
      <c r="L26" s="27" t="n">
        <f aca="false">140.4/Settings!$B$3</f>
        <v>5.2</v>
      </c>
      <c r="M26" s="27" t="n">
        <f aca="false">142.7/Settings!$B$3</f>
        <v>5.28518518518519</v>
      </c>
      <c r="N26" s="27" t="n">
        <f aca="false">MAX(633,644)/Settings!$B$3</f>
        <v>23.8518518518519</v>
      </c>
      <c r="O26" s="10" t="n">
        <f aca="false">L26*Settings!$B$4</f>
        <v>1248</v>
      </c>
      <c r="P26" s="21" t="n">
        <v>166</v>
      </c>
      <c r="Q26" s="21" t="n">
        <v>2831</v>
      </c>
      <c r="R26" s="21" t="n">
        <v>319</v>
      </c>
      <c r="S26" s="21" t="n">
        <v>643</v>
      </c>
      <c r="T26" s="21" t="n">
        <v>137</v>
      </c>
      <c r="U26" s="21" t="n">
        <v>0</v>
      </c>
      <c r="V26" s="28" t="n">
        <f aca="false">SUM(R26:U26)/SUM(P26:U26)</f>
        <v>0.268310546875</v>
      </c>
      <c r="W26" s="28" t="n">
        <f aca="false">SUM(S26:U26)/SUM(P26:U26)</f>
        <v>0.1904296875</v>
      </c>
      <c r="X26" s="22" t="n">
        <v>4113</v>
      </c>
      <c r="Y26" s="22" t="n">
        <v>148429</v>
      </c>
      <c r="Z26" s="6" t="s">
        <v>178</v>
      </c>
    </row>
    <row r="28" customFormat="false" ht="15" hidden="false" customHeight="false" outlineLevel="0" collapsed="false">
      <c r="A28" s="16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20" t="s">
        <v>181</v>
      </c>
    </row>
    <row r="4" customFormat="false" ht="45" hidden="false" customHeight="true" outlineLevel="0" collapsed="false">
      <c r="A4" s="3" t="s">
        <v>182</v>
      </c>
      <c r="B4" s="3" t="s">
        <v>183</v>
      </c>
      <c r="C4" s="3" t="s">
        <v>184</v>
      </c>
      <c r="D4" s="3" t="s">
        <v>185</v>
      </c>
      <c r="E4" s="3" t="s">
        <v>186</v>
      </c>
      <c r="F4" s="3" t="s">
        <v>187</v>
      </c>
      <c r="G4" s="3" t="s">
        <v>188</v>
      </c>
      <c r="H4" s="3" t="s">
        <v>189</v>
      </c>
    </row>
    <row r="5" customFormat="false" ht="15" hidden="false" customHeight="false" outlineLevel="0" collapsed="false">
      <c r="A5" s="6" t="s">
        <v>190</v>
      </c>
      <c r="B5" s="6" t="s">
        <v>191</v>
      </c>
      <c r="C5" s="21" t="n">
        <v>1</v>
      </c>
      <c r="D5" s="22" t="n">
        <v>4388</v>
      </c>
      <c r="E5" s="21" t="n">
        <v>227</v>
      </c>
      <c r="F5" s="27" t="n">
        <f aca="false">D5/$D$5</f>
        <v>1</v>
      </c>
      <c r="G5" s="29" t="n">
        <f aca="false">D5*Settings!$B$4</f>
        <v>1053120</v>
      </c>
      <c r="H5" s="6" t="s">
        <v>192</v>
      </c>
    </row>
    <row r="6" customFormat="false" ht="15" hidden="false" customHeight="false" outlineLevel="0" collapsed="false">
      <c r="A6" s="6" t="s">
        <v>193</v>
      </c>
      <c r="B6" s="6" t="s">
        <v>191</v>
      </c>
      <c r="C6" s="21" t="n">
        <v>2</v>
      </c>
      <c r="D6" s="22" t="n">
        <v>8806</v>
      </c>
      <c r="E6" s="21" t="n">
        <v>226</v>
      </c>
      <c r="F6" s="27" t="n">
        <f aca="false">D6/$D$5</f>
        <v>2.00683682771194</v>
      </c>
      <c r="G6" s="29" t="n">
        <f aca="false">D6*Settings!$B$4</f>
        <v>2113440</v>
      </c>
      <c r="H6" s="6" t="s">
        <v>192</v>
      </c>
    </row>
    <row r="7" customFormat="false" ht="15" hidden="false" customHeight="false" outlineLevel="0" collapsed="false">
      <c r="A7" s="6" t="s">
        <v>194</v>
      </c>
      <c r="B7" s="6" t="s">
        <v>191</v>
      </c>
      <c r="C7" s="21" t="n">
        <v>4</v>
      </c>
      <c r="D7" s="22" t="n">
        <v>17606</v>
      </c>
      <c r="E7" s="21" t="n">
        <v>226</v>
      </c>
      <c r="F7" s="27" t="n">
        <f aca="false">D7/$D$5</f>
        <v>4.0123062898815</v>
      </c>
      <c r="G7" s="29" t="n">
        <f aca="false">D7*Settings!$B$4</f>
        <v>4225440</v>
      </c>
      <c r="H7" s="6" t="s">
        <v>192</v>
      </c>
    </row>
    <row r="8" customFormat="false" ht="15" hidden="false" customHeight="false" outlineLevel="0" collapsed="false">
      <c r="A8" s="6" t="s">
        <v>195</v>
      </c>
      <c r="B8" s="6" t="s">
        <v>191</v>
      </c>
      <c r="C8" s="21" t="n">
        <v>8</v>
      </c>
      <c r="D8" s="22" t="n">
        <v>35206</v>
      </c>
      <c r="E8" s="21" t="n">
        <v>226</v>
      </c>
      <c r="F8" s="27" t="n">
        <f aca="false">D8/$D$5</f>
        <v>8.0232452142206</v>
      </c>
      <c r="G8" s="29" t="n">
        <f aca="false">D8*Settings!$B$4</f>
        <v>8449440</v>
      </c>
      <c r="H8" s="6" t="s">
        <v>192</v>
      </c>
    </row>
    <row r="9" customFormat="false" ht="15" hidden="false" customHeight="false" outlineLevel="0" collapsed="false">
      <c r="A9" s="6" t="s">
        <v>196</v>
      </c>
      <c r="B9" s="6" t="s">
        <v>197</v>
      </c>
      <c r="C9" s="21" t="n">
        <v>2</v>
      </c>
      <c r="D9" s="22" t="n">
        <v>4412</v>
      </c>
      <c r="E9" s="21" t="n">
        <v>453</v>
      </c>
      <c r="F9" s="27" t="n">
        <f aca="false">D9/$D$5</f>
        <v>1.00546946216955</v>
      </c>
      <c r="G9" s="29" t="n">
        <f aca="false">D9*Settings!$B$4</f>
        <v>1058880</v>
      </c>
      <c r="H9" s="6" t="s">
        <v>192</v>
      </c>
    </row>
    <row r="10" customFormat="false" ht="15" hidden="false" customHeight="false" outlineLevel="0" collapsed="false">
      <c r="A10" s="6" t="s">
        <v>198</v>
      </c>
      <c r="B10" s="6" t="s">
        <v>197</v>
      </c>
      <c r="C10" s="21" t="n">
        <v>4</v>
      </c>
      <c r="D10" s="22" t="n">
        <v>8812</v>
      </c>
      <c r="E10" s="21" t="n">
        <v>453</v>
      </c>
      <c r="F10" s="27" t="n">
        <f aca="false">D10/$D$5</f>
        <v>2.00820419325433</v>
      </c>
      <c r="G10" s="29" t="n">
        <f aca="false">D10*Settings!$B$4</f>
        <v>2114880</v>
      </c>
      <c r="H10" s="6" t="s">
        <v>192</v>
      </c>
    </row>
    <row r="11" customFormat="false" ht="15" hidden="false" customHeight="false" outlineLevel="0" collapsed="false">
      <c r="A11" s="6" t="s">
        <v>199</v>
      </c>
      <c r="B11" s="6" t="s">
        <v>197</v>
      </c>
      <c r="C11" s="21" t="n">
        <v>8</v>
      </c>
      <c r="D11" s="22" t="n">
        <v>17606</v>
      </c>
      <c r="E11" s="21" t="n">
        <v>453</v>
      </c>
      <c r="F11" s="27" t="n">
        <f aca="false">D11/$D$5</f>
        <v>4.0123062898815</v>
      </c>
      <c r="G11" s="29" t="n">
        <f aca="false">D11*Settings!$B$4</f>
        <v>4225440</v>
      </c>
      <c r="H11" s="6" t="s">
        <v>192</v>
      </c>
    </row>
    <row r="14" customFormat="false" ht="15" hidden="false" customHeight="false" outlineLevel="0" collapsed="false">
      <c r="A14" s="15" t="s">
        <v>200</v>
      </c>
    </row>
    <row r="15" customFormat="false" ht="15" hidden="false" customHeight="false" outlineLevel="0" collapsed="false">
      <c r="A15" s="16" t="s">
        <v>201</v>
      </c>
      <c r="D15" s="30" t="n">
        <v>131</v>
      </c>
    </row>
    <row r="16" customFormat="false" ht="15" hidden="false" customHeight="false" outlineLevel="0" collapsed="false">
      <c r="A16" s="16" t="s">
        <v>202</v>
      </c>
      <c r="D16" s="31" t="n">
        <f aca="false">D15/Settings!$B$3</f>
        <v>4.85185185185185</v>
      </c>
    </row>
    <row r="17" customFormat="false" ht="15" hidden="false" customHeight="false" outlineLevel="0" collapsed="false">
      <c r="A17" s="16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8" min="4" style="0" width="11"/>
    <col collapsed="false" customWidth="true" hidden="false" outlineLevel="0" max="11" min="9" style="0" width="13"/>
  </cols>
  <sheetData>
    <row r="1" customFormat="false" ht="17.35" hidden="false" customHeight="false" outlineLevel="0" collapsed="false">
      <c r="A1" s="1" t="s">
        <v>204</v>
      </c>
    </row>
    <row r="2" customFormat="false" ht="15" hidden="false" customHeight="false" outlineLevel="0" collapsed="false">
      <c r="A2" s="20" t="s">
        <v>205</v>
      </c>
    </row>
    <row r="4" customFormat="false" ht="45" hidden="false" customHeight="true" outlineLevel="0" collapsed="false">
      <c r="A4" s="3" t="s">
        <v>206</v>
      </c>
      <c r="B4" s="3" t="s">
        <v>207</v>
      </c>
      <c r="C4" s="3" t="s">
        <v>208</v>
      </c>
      <c r="D4" s="3" t="s">
        <v>209</v>
      </c>
      <c r="E4" s="3" t="s">
        <v>210</v>
      </c>
      <c r="F4" s="3" t="s">
        <v>211</v>
      </c>
      <c r="G4" s="3" t="s">
        <v>212</v>
      </c>
      <c r="H4" s="3" t="s">
        <v>213</v>
      </c>
      <c r="I4" s="3" t="s">
        <v>214</v>
      </c>
      <c r="J4" s="3" t="s">
        <v>215</v>
      </c>
      <c r="K4" s="3" t="s">
        <v>216</v>
      </c>
    </row>
    <row r="5" customFormat="false" ht="15" hidden="false" customHeight="false" outlineLevel="0" collapsed="false">
      <c r="A5" s="32" t="n">
        <v>2000</v>
      </c>
      <c r="B5" s="22" t="n">
        <v>54000</v>
      </c>
      <c r="C5" s="29" t="n">
        <f aca="false">A5*Settings!$B$4</f>
        <v>480000</v>
      </c>
      <c r="D5" s="21" t="n">
        <v>512</v>
      </c>
      <c r="E5" s="21" t="n">
        <v>512</v>
      </c>
      <c r="F5" s="21" t="n">
        <v>512</v>
      </c>
      <c r="G5" s="28" t="n">
        <f aca="false">D5/F5</f>
        <v>1</v>
      </c>
      <c r="H5" s="28" t="n">
        <f aca="false">E5/F5</f>
        <v>1</v>
      </c>
      <c r="I5" s="28" t="n">
        <f aca="false">MIN(1,B5/27000)</f>
        <v>1</v>
      </c>
      <c r="J5" s="26" t="n">
        <f aca="false">(G5-I5)*100</f>
        <v>0</v>
      </c>
      <c r="K5" s="6" t="n">
        <f aca="false">E5-D5</f>
        <v>0</v>
      </c>
    </row>
    <row r="6" customFormat="false" ht="15" hidden="false" customHeight="false" outlineLevel="0" collapsed="false">
      <c r="A6" s="32" t="n">
        <v>1000</v>
      </c>
      <c r="B6" s="22" t="n">
        <v>27000</v>
      </c>
      <c r="C6" s="29" t="n">
        <f aca="false">A6*Settings!$B$4</f>
        <v>240000</v>
      </c>
      <c r="D6" s="21" t="n">
        <v>512</v>
      </c>
      <c r="E6" s="21" t="n">
        <v>512</v>
      </c>
      <c r="F6" s="21" t="n">
        <v>512</v>
      </c>
      <c r="G6" s="28" t="n">
        <f aca="false">D6/F6</f>
        <v>1</v>
      </c>
      <c r="H6" s="28" t="n">
        <f aca="false">E6/F6</f>
        <v>1</v>
      </c>
      <c r="I6" s="28" t="n">
        <f aca="false">MIN(1,B6/27000)</f>
        <v>1</v>
      </c>
      <c r="J6" s="26" t="n">
        <f aca="false">(G6-I6)*100</f>
        <v>0</v>
      </c>
      <c r="K6" s="6" t="n">
        <f aca="false">E6-D6</f>
        <v>0</v>
      </c>
    </row>
    <row r="7" customFormat="false" ht="15" hidden="false" customHeight="false" outlineLevel="0" collapsed="false">
      <c r="A7" s="32" t="n">
        <v>750</v>
      </c>
      <c r="B7" s="22" t="n">
        <v>20250</v>
      </c>
      <c r="C7" s="29" t="n">
        <f aca="false">A7*Settings!$B$4</f>
        <v>180000</v>
      </c>
      <c r="D7" s="21" t="n">
        <v>380</v>
      </c>
      <c r="E7" s="21" t="n">
        <v>380</v>
      </c>
      <c r="F7" s="21" t="n">
        <v>512</v>
      </c>
      <c r="G7" s="28" t="n">
        <f aca="false">D7/F7</f>
        <v>0.7421875</v>
      </c>
      <c r="H7" s="28" t="n">
        <f aca="false">E7/F7</f>
        <v>0.7421875</v>
      </c>
      <c r="I7" s="28" t="n">
        <f aca="false">MIN(1,B7/27000)</f>
        <v>0.75</v>
      </c>
      <c r="J7" s="26" t="n">
        <f aca="false">(G7-I7)*100</f>
        <v>-0.78125</v>
      </c>
      <c r="K7" s="6" t="n">
        <f aca="false">E7-D7</f>
        <v>0</v>
      </c>
    </row>
    <row r="8" customFormat="false" ht="15" hidden="false" customHeight="false" outlineLevel="0" collapsed="false">
      <c r="A8" s="32" t="n">
        <v>500</v>
      </c>
      <c r="B8" s="22" t="n">
        <v>13500</v>
      </c>
      <c r="C8" s="29" t="n">
        <f aca="false">A8*Settings!$B$4</f>
        <v>120000</v>
      </c>
      <c r="D8" s="21" t="n">
        <v>264</v>
      </c>
      <c r="E8" s="21" t="n">
        <v>264</v>
      </c>
      <c r="F8" s="21" t="n">
        <v>512</v>
      </c>
      <c r="G8" s="28" t="n">
        <f aca="false">D8/F8</f>
        <v>0.515625</v>
      </c>
      <c r="H8" s="28" t="n">
        <f aca="false">E8/F8</f>
        <v>0.515625</v>
      </c>
      <c r="I8" s="28" t="n">
        <f aca="false">MIN(1,B8/27000)</f>
        <v>0.5</v>
      </c>
      <c r="J8" s="26" t="n">
        <f aca="false">(G8-I8)*100</f>
        <v>1.5625</v>
      </c>
      <c r="K8" s="6" t="n">
        <f aca="false">E8-D8</f>
        <v>0</v>
      </c>
    </row>
    <row r="9" customFormat="false" ht="15" hidden="false" customHeight="false" outlineLevel="0" collapsed="false">
      <c r="A9" s="32" t="n">
        <v>250</v>
      </c>
      <c r="B9" s="22" t="n">
        <v>6750</v>
      </c>
      <c r="C9" s="29" t="n">
        <f aca="false">A9*Settings!$B$4</f>
        <v>60000</v>
      </c>
      <c r="D9" s="21" t="n">
        <v>119</v>
      </c>
      <c r="E9" s="21" t="n">
        <v>119</v>
      </c>
      <c r="F9" s="21" t="n">
        <v>512</v>
      </c>
      <c r="G9" s="28" t="n">
        <f aca="false">D9/F9</f>
        <v>0.232421875</v>
      </c>
      <c r="H9" s="28" t="n">
        <f aca="false">E9/F9</f>
        <v>0.232421875</v>
      </c>
      <c r="I9" s="28" t="n">
        <f aca="false">MIN(1,B9/27000)</f>
        <v>0.25</v>
      </c>
      <c r="J9" s="26" t="n">
        <f aca="false">(G9-I9)*100</f>
        <v>-1.7578125</v>
      </c>
      <c r="K9" s="6" t="n">
        <f aca="false">E9-D9</f>
        <v>0</v>
      </c>
    </row>
    <row r="10" customFormat="false" ht="15" hidden="false" customHeight="false" outlineLevel="0" collapsed="false">
      <c r="A10" s="32" t="n">
        <v>100</v>
      </c>
      <c r="B10" s="22" t="n">
        <v>2700</v>
      </c>
      <c r="C10" s="29" t="n">
        <f aca="false">A10*Settings!$B$4</f>
        <v>24000</v>
      </c>
      <c r="D10" s="21" t="n">
        <v>42</v>
      </c>
      <c r="E10" s="21" t="n">
        <v>42</v>
      </c>
      <c r="F10" s="21" t="n">
        <v>512</v>
      </c>
      <c r="G10" s="28" t="n">
        <f aca="false">D10/F10</f>
        <v>0.08203125</v>
      </c>
      <c r="H10" s="28" t="n">
        <f aca="false">E10/F10</f>
        <v>0.08203125</v>
      </c>
      <c r="I10" s="28" t="n">
        <f aca="false">MIN(1,B10/27000)</f>
        <v>0.1</v>
      </c>
      <c r="J10" s="26" t="n">
        <f aca="false">(G10-I10)*100</f>
        <v>-1.796875</v>
      </c>
      <c r="K10" s="6" t="n">
        <f aca="false">E10-D10</f>
        <v>0</v>
      </c>
    </row>
    <row r="11" customFormat="false" ht="15" hidden="false" customHeight="false" outlineLevel="0" collapsed="false">
      <c r="A11" s="32" t="n">
        <v>50</v>
      </c>
      <c r="B11" s="22" t="n">
        <v>1350</v>
      </c>
      <c r="C11" s="29" t="n">
        <f aca="false">A11*Settings!$B$4</f>
        <v>12000</v>
      </c>
      <c r="D11" s="21" t="n">
        <v>20</v>
      </c>
      <c r="E11" s="21" t="n">
        <v>20</v>
      </c>
      <c r="F11" s="21" t="n">
        <v>512</v>
      </c>
      <c r="G11" s="28" t="n">
        <f aca="false">D11/F11</f>
        <v>0.0390625</v>
      </c>
      <c r="H11" s="28" t="n">
        <f aca="false">E11/F11</f>
        <v>0.0390625</v>
      </c>
      <c r="I11" s="28" t="n">
        <f aca="false">MIN(1,B11/27000)</f>
        <v>0.05</v>
      </c>
      <c r="J11" s="26" t="n">
        <f aca="false">(G11-I11)*100</f>
        <v>-1.09375</v>
      </c>
      <c r="K11" s="6" t="n">
        <f aca="false">E11-D11</f>
        <v>0</v>
      </c>
    </row>
    <row r="12" customFormat="false" ht="15" hidden="false" customHeight="false" outlineLevel="0" collapsed="false">
      <c r="A12" s="32" t="n">
        <v>20</v>
      </c>
      <c r="B12" s="22" t="n">
        <v>540</v>
      </c>
      <c r="C12" s="29" t="n">
        <f aca="false">A12*Settings!$B$4</f>
        <v>4800</v>
      </c>
      <c r="D12" s="21" t="n">
        <v>9</v>
      </c>
      <c r="E12" s="21" t="n">
        <v>9</v>
      </c>
      <c r="F12" s="21" t="n">
        <v>512</v>
      </c>
      <c r="G12" s="28" t="n">
        <f aca="false">D12/F12</f>
        <v>0.017578125</v>
      </c>
      <c r="H12" s="28" t="n">
        <f aca="false">E12/F12</f>
        <v>0.017578125</v>
      </c>
      <c r="I12" s="28" t="n">
        <f aca="false">MIN(1,B12/27000)</f>
        <v>0.02</v>
      </c>
      <c r="J12" s="26" t="n">
        <f aca="false">(G12-I12)*100</f>
        <v>-0.2421875</v>
      </c>
      <c r="K12" s="6" t="n">
        <f aca="false">E12-D12</f>
        <v>0</v>
      </c>
    </row>
    <row r="13" customFormat="false" ht="15" hidden="false" customHeight="false" outlineLevel="0" collapsed="false">
      <c r="A13" s="32" t="n">
        <v>10</v>
      </c>
      <c r="B13" s="22" t="n">
        <v>270</v>
      </c>
      <c r="C13" s="29" t="n">
        <f aca="false">A13*Settings!$B$4</f>
        <v>2400</v>
      </c>
      <c r="D13" s="21" t="n">
        <v>8</v>
      </c>
      <c r="E13" s="21" t="n">
        <v>8</v>
      </c>
      <c r="F13" s="21" t="n">
        <v>512</v>
      </c>
      <c r="G13" s="28" t="n">
        <f aca="false">D13/F13</f>
        <v>0.015625</v>
      </c>
      <c r="H13" s="28" t="n">
        <f aca="false">E13/F13</f>
        <v>0.015625</v>
      </c>
      <c r="I13" s="28" t="n">
        <f aca="false">MIN(1,B13/27000)</f>
        <v>0.01</v>
      </c>
      <c r="J13" s="26" t="n">
        <f aca="false">(G13-I13)*100</f>
        <v>0.5625</v>
      </c>
      <c r="K13" s="6" t="n">
        <f aca="false">E13-D13</f>
        <v>0</v>
      </c>
    </row>
    <row r="14" customFormat="false" ht="15" hidden="false" customHeight="false" outlineLevel="0" collapsed="false">
      <c r="A14" s="32" t="n">
        <v>5</v>
      </c>
      <c r="B14" s="22" t="n">
        <v>135</v>
      </c>
      <c r="C14" s="29" t="n">
        <f aca="false">A14*Settings!$B$4</f>
        <v>1200</v>
      </c>
      <c r="D14" s="21" t="n">
        <v>2</v>
      </c>
      <c r="E14" s="21" t="n">
        <v>2</v>
      </c>
      <c r="F14" s="21" t="n">
        <v>512</v>
      </c>
      <c r="G14" s="28" t="n">
        <f aca="false">D14/F14</f>
        <v>0.00390625</v>
      </c>
      <c r="H14" s="28" t="n">
        <f aca="false">E14/F14</f>
        <v>0.00390625</v>
      </c>
      <c r="I14" s="28" t="n">
        <f aca="false">MIN(1,B14/27000)</f>
        <v>0.005</v>
      </c>
      <c r="J14" s="26" t="n">
        <f aca="false">(G14-I14)*100</f>
        <v>-0.109375</v>
      </c>
      <c r="K14" s="6" t="n">
        <f aca="false">E14-D14</f>
        <v>0</v>
      </c>
    </row>
    <row r="15" customFormat="false" ht="15" hidden="false" customHeight="false" outlineLevel="0" collapsed="false">
      <c r="A15" s="32" t="n">
        <v>2</v>
      </c>
      <c r="B15" s="22" t="n">
        <v>54</v>
      </c>
      <c r="C15" s="29" t="n">
        <f aca="false">A15*Settings!$B$4</f>
        <v>480</v>
      </c>
      <c r="D15" s="21" t="n">
        <v>0</v>
      </c>
      <c r="E15" s="21" t="n">
        <v>0</v>
      </c>
      <c r="F15" s="21" t="n">
        <v>512</v>
      </c>
      <c r="G15" s="28" t="n">
        <f aca="false">D15/F15</f>
        <v>0</v>
      </c>
      <c r="H15" s="28" t="n">
        <f aca="false">E15/F15</f>
        <v>0</v>
      </c>
      <c r="I15" s="28" t="n">
        <f aca="false">MIN(1,B15/27000)</f>
        <v>0.002</v>
      </c>
      <c r="J15" s="26" t="n">
        <f aca="false">(G15-I15)*100</f>
        <v>-0.2</v>
      </c>
      <c r="K15" s="6" t="n">
        <f aca="false">E15-D15</f>
        <v>0</v>
      </c>
    </row>
    <row r="16" customFormat="false" ht="15" hidden="false" customHeight="false" outlineLevel="0" collapsed="false">
      <c r="A16" s="32" t="n">
        <v>1</v>
      </c>
      <c r="B16" s="22" t="n">
        <v>27</v>
      </c>
      <c r="C16" s="29" t="n">
        <f aca="false">A16*Settings!$B$4</f>
        <v>240</v>
      </c>
      <c r="D16" s="21" t="n">
        <v>0</v>
      </c>
      <c r="E16" s="21" t="n">
        <v>0</v>
      </c>
      <c r="F16" s="21" t="n">
        <v>512</v>
      </c>
      <c r="G16" s="28" t="n">
        <f aca="false">D16/F16</f>
        <v>0</v>
      </c>
      <c r="H16" s="28" t="n">
        <f aca="false">E16/F16</f>
        <v>0</v>
      </c>
      <c r="I16" s="28" t="n">
        <f aca="false">MIN(1,B16/27000)</f>
        <v>0.001</v>
      </c>
      <c r="J16" s="26" t="n">
        <f aca="false">(G16-I16)*100</f>
        <v>-0.1</v>
      </c>
      <c r="K16" s="6" t="n">
        <f aca="false">E16-D16</f>
        <v>0</v>
      </c>
    </row>
    <row r="18" customFormat="false" ht="15" hidden="false" customHeight="false" outlineLevel="0" collapsed="false">
      <c r="A18" s="16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2"/>
    <col collapsed="false" customWidth="true" hidden="false" outlineLevel="0" max="9" min="4" style="0" width="11"/>
  </cols>
  <sheetData>
    <row r="1" customFormat="false" ht="17.35" hidden="false" customHeight="false" outlineLevel="0" collapsed="false">
      <c r="A1" s="1" t="s">
        <v>218</v>
      </c>
    </row>
    <row r="2" customFormat="false" ht="15" hidden="false" customHeight="false" outlineLevel="0" collapsed="false">
      <c r="A2" s="20" t="s">
        <v>219</v>
      </c>
    </row>
    <row r="4" customFormat="false" ht="45" hidden="false" customHeight="true" outlineLevel="0" collapsed="false">
      <c r="A4" s="3" t="s">
        <v>220</v>
      </c>
      <c r="B4" s="3" t="s">
        <v>221</v>
      </c>
      <c r="C4" s="3" t="s">
        <v>208</v>
      </c>
      <c r="D4" s="3" t="s">
        <v>222</v>
      </c>
      <c r="E4" s="3" t="s">
        <v>223</v>
      </c>
      <c r="F4" s="3" t="s">
        <v>211</v>
      </c>
      <c r="G4" s="3" t="s">
        <v>224</v>
      </c>
      <c r="H4" s="3" t="s">
        <v>225</v>
      </c>
      <c r="I4" s="3" t="s">
        <v>226</v>
      </c>
    </row>
    <row r="5" customFormat="false" ht="15" hidden="false" customHeight="false" outlineLevel="0" collapsed="false">
      <c r="A5" s="22" t="n">
        <v>100000</v>
      </c>
      <c r="B5" s="22" t="n">
        <v>2700</v>
      </c>
      <c r="C5" s="7" t="n">
        <f aca="false">A5*Settings!$B$4/1000</f>
        <v>24000</v>
      </c>
      <c r="D5" s="21" t="n">
        <v>512</v>
      </c>
      <c r="E5" s="21" t="n">
        <v>511</v>
      </c>
      <c r="F5" s="21" t="n">
        <v>512</v>
      </c>
      <c r="G5" s="28" t="n">
        <f aca="false">D5/F5</f>
        <v>1</v>
      </c>
      <c r="H5" s="28" t="n">
        <f aca="false">E5/F5</f>
        <v>0.998046875</v>
      </c>
      <c r="I5" s="6" t="n">
        <f aca="false">F5-E5</f>
        <v>1</v>
      </c>
    </row>
    <row r="6" customFormat="false" ht="15" hidden="false" customHeight="false" outlineLevel="0" collapsed="false">
      <c r="A6" s="22" t="n">
        <v>50000</v>
      </c>
      <c r="B6" s="22" t="n">
        <v>1350</v>
      </c>
      <c r="C6" s="7" t="n">
        <f aca="false">A6*Settings!$B$4/1000</f>
        <v>12000</v>
      </c>
      <c r="D6" s="21" t="n">
        <v>512</v>
      </c>
      <c r="E6" s="21" t="n">
        <v>512</v>
      </c>
      <c r="F6" s="21" t="n">
        <v>512</v>
      </c>
      <c r="G6" s="28" t="n">
        <f aca="false">D6/F6</f>
        <v>1</v>
      </c>
      <c r="H6" s="28" t="n">
        <f aca="false">E6/F6</f>
        <v>1</v>
      </c>
      <c r="I6" s="6" t="n">
        <f aca="false">F6-E6</f>
        <v>0</v>
      </c>
    </row>
    <row r="7" customFormat="false" ht="15" hidden="false" customHeight="false" outlineLevel="0" collapsed="false">
      <c r="A7" s="22" t="n">
        <v>20000</v>
      </c>
      <c r="B7" s="22" t="n">
        <v>540</v>
      </c>
      <c r="C7" s="7" t="n">
        <f aca="false">A7*Settings!$B$4/1000</f>
        <v>4800</v>
      </c>
      <c r="D7" s="21" t="n">
        <v>512</v>
      </c>
      <c r="E7" s="21" t="n">
        <v>512</v>
      </c>
      <c r="F7" s="21" t="n">
        <v>512</v>
      </c>
      <c r="G7" s="28" t="n">
        <f aca="false">D7/F7</f>
        <v>1</v>
      </c>
      <c r="H7" s="28" t="n">
        <f aca="false">E7/F7</f>
        <v>1</v>
      </c>
      <c r="I7" s="6" t="n">
        <f aca="false">F7-E7</f>
        <v>0</v>
      </c>
    </row>
    <row r="8" customFormat="false" ht="15" hidden="false" customHeight="false" outlineLevel="0" collapsed="false">
      <c r="A8" s="22" t="n">
        <v>10000</v>
      </c>
      <c r="B8" s="22" t="n">
        <v>270</v>
      </c>
      <c r="C8" s="7" t="n">
        <f aca="false">A8*Settings!$B$4/1000</f>
        <v>2400</v>
      </c>
      <c r="D8" s="21" t="n">
        <v>512</v>
      </c>
      <c r="E8" s="21" t="n">
        <v>512</v>
      </c>
      <c r="F8" s="21" t="n">
        <v>512</v>
      </c>
      <c r="G8" s="28" t="n">
        <f aca="false">D8/F8</f>
        <v>1</v>
      </c>
      <c r="H8" s="28" t="n">
        <f aca="false">E8/F8</f>
        <v>1</v>
      </c>
      <c r="I8" s="6" t="n">
        <f aca="false">F8-E8</f>
        <v>0</v>
      </c>
    </row>
    <row r="9" customFormat="false" ht="15" hidden="false" customHeight="false" outlineLevel="0" collapsed="false">
      <c r="A9" s="22" t="n">
        <v>5000</v>
      </c>
      <c r="B9" s="22" t="n">
        <v>135</v>
      </c>
      <c r="C9" s="7" t="n">
        <f aca="false">A9*Settings!$B$4/1000</f>
        <v>1200</v>
      </c>
      <c r="D9" s="21" t="n">
        <v>512</v>
      </c>
      <c r="E9" s="21" t="n">
        <v>511</v>
      </c>
      <c r="F9" s="21" t="n">
        <v>512</v>
      </c>
      <c r="G9" s="28" t="n">
        <f aca="false">D9/F9</f>
        <v>1</v>
      </c>
      <c r="H9" s="28" t="n">
        <f aca="false">E9/F9</f>
        <v>0.998046875</v>
      </c>
      <c r="I9" s="6" t="n">
        <f aca="false">F9-E9</f>
        <v>1</v>
      </c>
    </row>
    <row r="10" customFormat="false" ht="15" hidden="false" customHeight="false" outlineLevel="0" collapsed="false">
      <c r="A10" s="22" t="n">
        <v>2000</v>
      </c>
      <c r="B10" s="22" t="n">
        <v>54</v>
      </c>
      <c r="C10" s="7" t="n">
        <f aca="false">A10*Settings!$B$4/1000</f>
        <v>480</v>
      </c>
      <c r="D10" s="21" t="n">
        <v>512</v>
      </c>
      <c r="E10" s="21" t="n">
        <v>512</v>
      </c>
      <c r="F10" s="21" t="n">
        <v>512</v>
      </c>
      <c r="G10" s="28" t="n">
        <f aca="false">D10/F10</f>
        <v>1</v>
      </c>
      <c r="H10" s="28" t="n">
        <f aca="false">E10/F10</f>
        <v>1</v>
      </c>
      <c r="I10" s="6" t="n">
        <f aca="false">F10-E10</f>
        <v>0</v>
      </c>
    </row>
    <row r="11" customFormat="false" ht="15" hidden="false" customHeight="false" outlineLevel="0" collapsed="false">
      <c r="A11" s="22" t="n">
        <v>1000</v>
      </c>
      <c r="B11" s="22" t="n">
        <v>27</v>
      </c>
      <c r="C11" s="7" t="n">
        <f aca="false">A11*Settings!$B$4/1000</f>
        <v>240</v>
      </c>
      <c r="D11" s="21" t="n">
        <v>512</v>
      </c>
      <c r="E11" s="21" t="n">
        <v>512</v>
      </c>
      <c r="F11" s="21" t="n">
        <v>512</v>
      </c>
      <c r="G11" s="28" t="n">
        <f aca="false">D11/F11</f>
        <v>1</v>
      </c>
      <c r="H11" s="28" t="n">
        <f aca="false">E11/F11</f>
        <v>1</v>
      </c>
      <c r="I11" s="6" t="n">
        <f aca="false">F11-E11</f>
        <v>0</v>
      </c>
    </row>
    <row r="12" customFormat="false" ht="15" hidden="false" customHeight="false" outlineLevel="0" collapsed="false">
      <c r="A12" s="22" t="n">
        <v>593</v>
      </c>
      <c r="B12" s="22" t="n">
        <v>16</v>
      </c>
      <c r="C12" s="7" t="n">
        <f aca="false">A12*Settings!$B$4/1000</f>
        <v>142.32</v>
      </c>
      <c r="D12" s="21" t="n">
        <v>512</v>
      </c>
      <c r="E12" s="21" t="n">
        <v>512</v>
      </c>
      <c r="F12" s="21" t="n">
        <v>512</v>
      </c>
      <c r="G12" s="28" t="n">
        <f aca="false">D12/F12</f>
        <v>1</v>
      </c>
      <c r="H12" s="28" t="n">
        <f aca="false">E12/F12</f>
        <v>1</v>
      </c>
      <c r="I12" s="6" t="n">
        <f aca="false">F12-E12</f>
        <v>0</v>
      </c>
    </row>
    <row r="13" customFormat="false" ht="15" hidden="false" customHeight="false" outlineLevel="0" collapsed="false">
      <c r="A13" s="22" t="n">
        <v>296</v>
      </c>
      <c r="B13" s="22" t="n">
        <v>8</v>
      </c>
      <c r="C13" s="7" t="n">
        <f aca="false">A13*Settings!$B$4/1000</f>
        <v>71.04</v>
      </c>
      <c r="D13" s="21" t="n">
        <v>512</v>
      </c>
      <c r="E13" s="21" t="n">
        <v>512</v>
      </c>
      <c r="F13" s="21" t="n">
        <v>512</v>
      </c>
      <c r="G13" s="28" t="n">
        <f aca="false">D13/F13</f>
        <v>1</v>
      </c>
      <c r="H13" s="28" t="n">
        <f aca="false">E13/F13</f>
        <v>1</v>
      </c>
      <c r="I13" s="6" t="n">
        <f aca="false">F13-E13</f>
        <v>0</v>
      </c>
    </row>
    <row r="14" customFormat="false" ht="15" hidden="false" customHeight="false" outlineLevel="0" collapsed="false">
      <c r="A14" s="22" t="n">
        <v>148</v>
      </c>
      <c r="B14" s="22" t="n">
        <v>4</v>
      </c>
      <c r="C14" s="7" t="n">
        <f aca="false">A14*Settings!$B$4/1000</f>
        <v>35.52</v>
      </c>
      <c r="D14" s="21" t="n">
        <v>512</v>
      </c>
      <c r="E14" s="21" t="n">
        <v>511</v>
      </c>
      <c r="F14" s="21" t="n">
        <v>512</v>
      </c>
      <c r="G14" s="28" t="n">
        <f aca="false">D14/F14</f>
        <v>1</v>
      </c>
      <c r="H14" s="28" t="n">
        <f aca="false">E14/F14</f>
        <v>0.998046875</v>
      </c>
      <c r="I14" s="6" t="n">
        <f aca="false">F14-E14</f>
        <v>1</v>
      </c>
    </row>
    <row r="15" customFormat="false" ht="15" hidden="false" customHeight="false" outlineLevel="0" collapsed="false">
      <c r="A15" s="22" t="n">
        <v>74</v>
      </c>
      <c r="B15" s="22" t="n">
        <v>2</v>
      </c>
      <c r="C15" s="7" t="n">
        <f aca="false">A15*Settings!$B$4/1000</f>
        <v>17.76</v>
      </c>
      <c r="D15" s="21" t="n">
        <v>512</v>
      </c>
      <c r="E15" s="21" t="n">
        <v>512</v>
      </c>
      <c r="F15" s="21" t="n">
        <v>512</v>
      </c>
      <c r="G15" s="28" t="n">
        <f aca="false">D15/F15</f>
        <v>1</v>
      </c>
      <c r="H15" s="28" t="n">
        <f aca="false">E15/F15</f>
        <v>1</v>
      </c>
      <c r="I15" s="6" t="n">
        <f aca="false">F15-E15</f>
        <v>0</v>
      </c>
    </row>
    <row r="16" customFormat="false" ht="15" hidden="false" customHeight="false" outlineLevel="0" collapsed="false">
      <c r="A16" s="22" t="n">
        <v>37</v>
      </c>
      <c r="B16" s="22" t="n">
        <v>1</v>
      </c>
      <c r="C16" s="7" t="n">
        <f aca="false">A16*Settings!$B$4/1000</f>
        <v>8.88</v>
      </c>
      <c r="D16" s="21" t="n">
        <v>512</v>
      </c>
      <c r="E16" s="21" t="n">
        <v>512</v>
      </c>
      <c r="F16" s="21" t="n">
        <v>512</v>
      </c>
      <c r="G16" s="28" t="n">
        <f aca="false">D16/F16</f>
        <v>1</v>
      </c>
      <c r="H16" s="28" t="n">
        <f aca="false">E16/F16</f>
        <v>1</v>
      </c>
      <c r="I16" s="6" t="n">
        <f aca="false">F16-E16</f>
        <v>0</v>
      </c>
    </row>
    <row r="17" customFormat="false" ht="15" hidden="false" customHeight="false" outlineLevel="0" collapsed="false">
      <c r="A17" s="33" t="s">
        <v>227</v>
      </c>
      <c r="D17" s="33" t="n">
        <f aca="false">SUM(D5:D16)</f>
        <v>6144</v>
      </c>
      <c r="E17" s="33" t="n">
        <f aca="false">SUM(E5:E16)</f>
        <v>6141</v>
      </c>
      <c r="F17" s="33" t="n">
        <f aca="false">SUM(F5:F16)</f>
        <v>6144</v>
      </c>
      <c r="G17" s="34" t="n">
        <f aca="false">D17/F17</f>
        <v>1</v>
      </c>
      <c r="H17" s="34" t="n">
        <f aca="false">E17/F17</f>
        <v>0.99951171875</v>
      </c>
      <c r="I17" s="33" t="n">
        <f aca="false">F17-E17</f>
        <v>3</v>
      </c>
    </row>
    <row r="19" customFormat="false" ht="15" hidden="false" customHeight="false" outlineLevel="0" collapsed="false">
      <c r="A19" s="16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2026-10-19T07:44:51Z</dcterms:created>
  <dc:creator>openpyxl</dc:creator>
  <dc:description/>
  <dc:language>en-US</dc:language>
  <cp:lastModifiedBy/>
  <dcterms:modified xsi:type="dcterms:W3CDTF">2026-10-19T07:44:51Z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